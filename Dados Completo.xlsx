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1.xml" ContentType="application/vnd.openxmlformats-officedocument.customXmlProperties+xml"/>
  <Override PartName="/customXml/item2.xml" ContentType="application/xml"/>
  <Override PartName="/customXml/item1.xml" ContentType="application/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Cover Page" sheetId="1" state="hidden" r:id="rId3"/>
    <sheet name="Dados" sheetId="2" state="visible" r:id="rId4"/>
    <sheet name="Ricos_por_Idade" sheetId="3" state="visible" r:id="rId5"/>
    <sheet name="Idade" sheetId="4" state="visible" r:id="rId6"/>
    <sheet name="Top10_Pessoas_Ricas" sheetId="5" state="visible" r:id="rId7"/>
  </sheets>
  <calcPr iterateCount="100" refMode="A1" iterate="false" iterateDelta="0.0001"/>
  <pivotCaches>
    <pivotCache cacheId="1" r:id="rId9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<sst xmlns="http://schemas.openxmlformats.org/spreadsheetml/2006/main" count="4964" uniqueCount="1794">
  <si>
    <t xml:space="preserve">Billionaires Dataset.</t>
  </si>
  <si>
    <r>
      <rPr>
        <sz val="16"/>
        <color theme="1"/>
        <rFont val="Calibri"/>
        <family val="2"/>
        <charset val="1"/>
      </rPr>
      <t xml:space="preserve">Get </t>
    </r>
    <r>
      <rPr>
        <b val="true"/>
        <sz val="16"/>
        <color theme="1"/>
        <rFont val="Calibri"/>
        <family val="2"/>
        <charset val="1"/>
      </rPr>
      <t xml:space="preserve">10% OFF</t>
    </r>
    <r>
      <rPr>
        <sz val="16"/>
        <color theme="1"/>
        <rFont val="Calibri"/>
        <family val="2"/>
        <charset val="1"/>
      </rPr>
      <t xml:space="preserve"> our course using coupon code </t>
    </r>
    <r>
      <rPr>
        <b val="true"/>
        <sz val="16"/>
        <color theme="1"/>
        <rFont val="Calibri"/>
        <family val="2"/>
        <charset val="1"/>
      </rPr>
      <t xml:space="preserve">EMAIL10</t>
    </r>
  </si>
  <si>
    <t xml:space="preserve">Get our Excel for Business and Finance course.</t>
  </si>
  <si>
    <t xml:space="preserve">Made by Career Principles Ltd.</t>
  </si>
  <si>
    <t xml:space="preserve">Note</t>
  </si>
  <si>
    <t xml:space="preserve">All content is copyright material of Career Principles Ltd.</t>
  </si>
  <si>
    <t xml:space="preserve">This Excel model may not be reproduced or distributed by any means, including printing, 
screencapturing, or any other method without the prior permission of the publisher.</t>
  </si>
  <si>
    <t xml:space="preserve">CLASSIFICAÇÃO</t>
  </si>
  <si>
    <t xml:space="preserve">CATEGORIA</t>
  </si>
  <si>
    <t xml:space="preserve">NOME PESSOA</t>
  </si>
  <si>
    <t xml:space="preserve">PAÍS</t>
  </si>
  <si>
    <t xml:space="preserve">CIDADE</t>
  </si>
  <si>
    <t xml:space="preserve">SERVIÇO</t>
  </si>
  <si>
    <t xml:space="preserve">INDÚSTRIA</t>
  </si>
  <si>
    <t xml:space="preserve">AUTOCONSTRUÍDO</t>
  </si>
  <si>
    <t xml:space="preserve">GÊNERO</t>
  </si>
  <si>
    <t xml:space="preserve">SOBRENOME</t>
  </si>
  <si>
    <t xml:space="preserve">PRIMEIRO NOME</t>
  </si>
  <si>
    <t xml:space="preserve">FORTUNA FINAL</t>
  </si>
  <si>
    <t xml:space="preserve">ANO NASCIMENTO</t>
  </si>
  <si>
    <t xml:space="preserve">MÊS NASCIMENTO</t>
  </si>
  <si>
    <t xml:space="preserve">DIA NASCIMENTO</t>
  </si>
  <si>
    <t xml:space="preserve">IPC DO PAÍS</t>
  </si>
  <si>
    <t xml:space="preserve">PIB DO PAÍS</t>
  </si>
  <si>
    <t xml:space="preserve">EXPECTATIVA DE VIDA</t>
  </si>
  <si>
    <t xml:space="preserve">RECEITA FISCAL</t>
  </si>
  <si>
    <t xml:space="preserve">TAXA DE IMPOSTO TOTAL DO PAÍS</t>
  </si>
  <si>
    <t xml:space="preserve">POPULAÇÃO DO PAÍS</t>
  </si>
  <si>
    <t xml:space="preserve">IDADE ATUAL</t>
  </si>
  <si>
    <t xml:space="preserve">LANÇAMENTO</t>
  </si>
  <si>
    <t xml:space="preserve">DATA ATUAL</t>
  </si>
  <si>
    <t xml:space="preserve">Fashion &amp; Retail</t>
  </si>
  <si>
    <t xml:space="preserve">Bernard Arnault &amp; family</t>
  </si>
  <si>
    <t xml:space="preserve">France</t>
  </si>
  <si>
    <t xml:space="preserve">Paris</t>
  </si>
  <si>
    <t xml:space="preserve">LVMH</t>
  </si>
  <si>
    <t xml:space="preserve">FALSE</t>
  </si>
  <si>
    <t xml:space="preserve">Male</t>
  </si>
  <si>
    <t xml:space="preserve">Arnault</t>
  </si>
  <si>
    <t xml:space="preserve">Bernard</t>
  </si>
  <si>
    <t xml:space="preserve">Automotive</t>
  </si>
  <si>
    <t xml:space="preserve">Elon Musk</t>
  </si>
  <si>
    <t xml:space="preserve">United States</t>
  </si>
  <si>
    <t xml:space="preserve">Austin</t>
  </si>
  <si>
    <t xml:space="preserve">Tesla, SpaceX</t>
  </si>
  <si>
    <t xml:space="preserve">TRUE</t>
  </si>
  <si>
    <t xml:space="preserve">Musk</t>
  </si>
  <si>
    <t xml:space="preserve">Elon</t>
  </si>
  <si>
    <t xml:space="preserve">Média</t>
  </si>
  <si>
    <t xml:space="preserve">Technology</t>
  </si>
  <si>
    <t xml:space="preserve">Jeff Bezos</t>
  </si>
  <si>
    <t xml:space="preserve">Medina</t>
  </si>
  <si>
    <t xml:space="preserve">Amazon</t>
  </si>
  <si>
    <t xml:space="preserve">Bezos</t>
  </si>
  <si>
    <t xml:space="preserve">Jeff</t>
  </si>
  <si>
    <t xml:space="preserve">Erro padrão</t>
  </si>
  <si>
    <t xml:space="preserve">Larry Ellison</t>
  </si>
  <si>
    <t xml:space="preserve">Lanai</t>
  </si>
  <si>
    <t xml:space="preserve">Oracle</t>
  </si>
  <si>
    <t xml:space="preserve">Ellison</t>
  </si>
  <si>
    <t xml:space="preserve">Larry</t>
  </si>
  <si>
    <t xml:space="preserve">Modo</t>
  </si>
  <si>
    <t xml:space="preserve">Finance &amp; Investments</t>
  </si>
  <si>
    <t xml:space="preserve">Warren Buffett</t>
  </si>
  <si>
    <t xml:space="preserve">Omaha</t>
  </si>
  <si>
    <t xml:space="preserve">Berkshire Hathaway</t>
  </si>
  <si>
    <t xml:space="preserve">Buffett</t>
  </si>
  <si>
    <t xml:space="preserve">Warren</t>
  </si>
  <si>
    <t xml:space="preserve">Mediana</t>
  </si>
  <si>
    <t xml:space="preserve">Bill Gates</t>
  </si>
  <si>
    <t xml:space="preserve">Microsoft</t>
  </si>
  <si>
    <t xml:space="preserve">Gates</t>
  </si>
  <si>
    <t xml:space="preserve">Bill</t>
  </si>
  <si>
    <t xml:space="preserve">Primeiro quartil</t>
  </si>
  <si>
    <t xml:space="preserve">Terceiro quartil</t>
  </si>
  <si>
    <t xml:space="preserve">Media &amp; Entertainment</t>
  </si>
  <si>
    <t xml:space="preserve">Michael Bloomberg</t>
  </si>
  <si>
    <t xml:space="preserve">New York</t>
  </si>
  <si>
    <t xml:space="preserve">Bloomberg LP</t>
  </si>
  <si>
    <t xml:space="preserve">Bloomberg</t>
  </si>
  <si>
    <t xml:space="preserve">Michael</t>
  </si>
  <si>
    <t xml:space="preserve">Variância</t>
  </si>
  <si>
    <t xml:space="preserve">Telecom</t>
  </si>
  <si>
    <t xml:space="preserve">Carlos Slim Helu &amp; family</t>
  </si>
  <si>
    <t xml:space="preserve">Mexico</t>
  </si>
  <si>
    <t xml:space="preserve">Mexico City</t>
  </si>
  <si>
    <t xml:space="preserve">Slim Helu</t>
  </si>
  <si>
    <t xml:space="preserve">Carlos</t>
  </si>
  <si>
    <t xml:space="preserve">Desvio padrão</t>
  </si>
  <si>
    <t xml:space="preserve">Diversified</t>
  </si>
  <si>
    <t xml:space="preserve">Mukesh Ambani</t>
  </si>
  <si>
    <t xml:space="preserve">India</t>
  </si>
  <si>
    <t xml:space="preserve">Mumbai</t>
  </si>
  <si>
    <t xml:space="preserve">Ambani</t>
  </si>
  <si>
    <t xml:space="preserve">Mukesh</t>
  </si>
  <si>
    <t xml:space="preserve">Curtose</t>
  </si>
  <si>
    <t xml:space="preserve">Steve Ballmer</t>
  </si>
  <si>
    <t xml:space="preserve">Hunts Point</t>
  </si>
  <si>
    <t xml:space="preserve">Ballmer</t>
  </si>
  <si>
    <t xml:space="preserve">Steve</t>
  </si>
  <si>
    <t xml:space="preserve">Inclinação</t>
  </si>
  <si>
    <t xml:space="preserve">Francoise Bettencourt Meyers &amp; family</t>
  </si>
  <si>
    <t xml:space="preserve">L'Oréal</t>
  </si>
  <si>
    <t xml:space="preserve">Female</t>
  </si>
  <si>
    <t xml:space="preserve">Bettencourt Meyers</t>
  </si>
  <si>
    <t xml:space="preserve">Francoise</t>
  </si>
  <si>
    <t xml:space="preserve">Intervalo</t>
  </si>
  <si>
    <t xml:space="preserve">Larry Page</t>
  </si>
  <si>
    <t xml:space="preserve">Palo Alto</t>
  </si>
  <si>
    <t xml:space="preserve">Google</t>
  </si>
  <si>
    <t xml:space="preserve">Page</t>
  </si>
  <si>
    <t xml:space="preserve">Mínimo</t>
  </si>
  <si>
    <t xml:space="preserve">Amancio Ortega</t>
  </si>
  <si>
    <t xml:space="preserve">Spain</t>
  </si>
  <si>
    <t xml:space="preserve">La Coruna</t>
  </si>
  <si>
    <t xml:space="preserve">Zara</t>
  </si>
  <si>
    <t xml:space="preserve">Ortega</t>
  </si>
  <si>
    <t xml:space="preserve">Amancio</t>
  </si>
  <si>
    <t xml:space="preserve">Máximo</t>
  </si>
  <si>
    <t xml:space="preserve">Sergey Brin</t>
  </si>
  <si>
    <t xml:space="preserve">Los Altos</t>
  </si>
  <si>
    <t xml:space="preserve">Brin</t>
  </si>
  <si>
    <t xml:space="preserve">Sergey</t>
  </si>
  <si>
    <t xml:space="preserve">Soma</t>
  </si>
  <si>
    <t xml:space="preserve">Food &amp; Beverage</t>
  </si>
  <si>
    <t xml:space="preserve">Zhong Shanshan</t>
  </si>
  <si>
    <t xml:space="preserve">China</t>
  </si>
  <si>
    <t xml:space="preserve">Hangzhou</t>
  </si>
  <si>
    <t xml:space="preserve">Beverages, pharmaceuticals</t>
  </si>
  <si>
    <t xml:space="preserve">Zhong</t>
  </si>
  <si>
    <t xml:space="preserve">Shanshan</t>
  </si>
  <si>
    <t xml:space="preserve">Contagem</t>
  </si>
  <si>
    <t xml:space="preserve">Mark Zuckerberg</t>
  </si>
  <si>
    <t xml:space="preserve">Facebook</t>
  </si>
  <si>
    <t xml:space="preserve">Zuckerberg</t>
  </si>
  <si>
    <t xml:space="preserve">Mark</t>
  </si>
  <si>
    <t xml:space="preserve">Charles Koch &amp; family</t>
  </si>
  <si>
    <t xml:space="preserve">Wichita</t>
  </si>
  <si>
    <t xml:space="preserve">Koch Industries</t>
  </si>
  <si>
    <t xml:space="preserve">Koch</t>
  </si>
  <si>
    <t xml:space="preserve">Charles</t>
  </si>
  <si>
    <t xml:space="preserve">Julia Koch &amp; family</t>
  </si>
  <si>
    <t xml:space="preserve">Julia</t>
  </si>
  <si>
    <t xml:space="preserve">Jim Walton</t>
  </si>
  <si>
    <t xml:space="preserve">Bentonville</t>
  </si>
  <si>
    <t xml:space="preserve">Walmart</t>
  </si>
  <si>
    <t xml:space="preserve">Walton</t>
  </si>
  <si>
    <t xml:space="preserve">Jim</t>
  </si>
  <si>
    <t xml:space="preserve">Rob Walton &amp; family</t>
  </si>
  <si>
    <t xml:space="preserve">Rob</t>
  </si>
  <si>
    <t xml:space="preserve">Alice Walton</t>
  </si>
  <si>
    <t xml:space="preserve">Fort Worth</t>
  </si>
  <si>
    <t xml:space="preserve">Alice</t>
  </si>
  <si>
    <t xml:space="preserve">David Thomson &amp; family</t>
  </si>
  <si>
    <t xml:space="preserve">Canada</t>
  </si>
  <si>
    <t xml:space="preserve">Toronto</t>
  </si>
  <si>
    <t xml:space="preserve">Media</t>
  </si>
  <si>
    <t xml:space="preserve">Thomson</t>
  </si>
  <si>
    <t xml:space="preserve">David</t>
  </si>
  <si>
    <t xml:space="preserve">Michael Dell</t>
  </si>
  <si>
    <t xml:space="preserve">Dell Technologies</t>
  </si>
  <si>
    <t xml:space="preserve">Dell</t>
  </si>
  <si>
    <t xml:space="preserve">Gautam Adani</t>
  </si>
  <si>
    <t xml:space="preserve">Ahmedabad</t>
  </si>
  <si>
    <t xml:space="preserve">Infrastructure, commodities</t>
  </si>
  <si>
    <t xml:space="preserve">Adani</t>
  </si>
  <si>
    <t xml:space="preserve">Gautam</t>
  </si>
  <si>
    <t xml:space="preserve">Phil Knight &amp; family</t>
  </si>
  <si>
    <t xml:space="preserve">Hillsboro</t>
  </si>
  <si>
    <t xml:space="preserve">Nike</t>
  </si>
  <si>
    <t xml:space="preserve">Knight</t>
  </si>
  <si>
    <t xml:space="preserve">Phil</t>
  </si>
  <si>
    <t xml:space="preserve">Zhang Yiming</t>
  </si>
  <si>
    <t xml:space="preserve">Beijing</t>
  </si>
  <si>
    <t xml:space="preserve">TikTok</t>
  </si>
  <si>
    <t xml:space="preserve">Zhang</t>
  </si>
  <si>
    <t xml:space="preserve">Yiming</t>
  </si>
  <si>
    <t xml:space="preserve">Dieter Schwarz</t>
  </si>
  <si>
    <t xml:space="preserve">Germany</t>
  </si>
  <si>
    <t xml:space="preserve">Neckarsulm</t>
  </si>
  <si>
    <t xml:space="preserve">Retail</t>
  </si>
  <si>
    <t xml:space="preserve">Schwarz</t>
  </si>
  <si>
    <t xml:space="preserve">Dieter</t>
  </si>
  <si>
    <t xml:space="preserve">François Pinault &amp; family</t>
  </si>
  <si>
    <t xml:space="preserve">Luxury goods</t>
  </si>
  <si>
    <t xml:space="preserve">Pinault</t>
  </si>
  <si>
    <t xml:space="preserve">François</t>
  </si>
  <si>
    <t xml:space="preserve">Logistics</t>
  </si>
  <si>
    <t xml:space="preserve">Klaus-Michael Kuehne</t>
  </si>
  <si>
    <t xml:space="preserve">Switzerland</t>
  </si>
  <si>
    <t xml:space="preserve">Schindellegi</t>
  </si>
  <si>
    <t xml:space="preserve">Shipping</t>
  </si>
  <si>
    <t xml:space="preserve">Kuehne</t>
  </si>
  <si>
    <t xml:space="preserve">Klaus-Michael</t>
  </si>
  <si>
    <t xml:space="preserve">Giovanni Ferrero</t>
  </si>
  <si>
    <t xml:space="preserve">Belgium</t>
  </si>
  <si>
    <t xml:space="preserve">Brussels</t>
  </si>
  <si>
    <t xml:space="preserve">Nutella, chocolates</t>
  </si>
  <si>
    <t xml:space="preserve">Ferrero</t>
  </si>
  <si>
    <t xml:space="preserve">Giovanni</t>
  </si>
  <si>
    <t xml:space="preserve">Jacqueline Mars</t>
  </si>
  <si>
    <t xml:space="preserve">The Plains</t>
  </si>
  <si>
    <t xml:space="preserve">Candy, pet food</t>
  </si>
  <si>
    <t xml:space="preserve">Mars</t>
  </si>
  <si>
    <t xml:space="preserve">Jacqueline</t>
  </si>
  <si>
    <t xml:space="preserve">John Mars</t>
  </si>
  <si>
    <t xml:space="preserve">Jackson</t>
  </si>
  <si>
    <t xml:space="preserve">John</t>
  </si>
  <si>
    <t xml:space="preserve">Ma Huateng</t>
  </si>
  <si>
    <t xml:space="preserve">Shenzhen</t>
  </si>
  <si>
    <t xml:space="preserve">Internet media</t>
  </si>
  <si>
    <t xml:space="preserve">Ma</t>
  </si>
  <si>
    <t xml:space="preserve">Huateng</t>
  </si>
  <si>
    <t xml:space="preserve">Gambling &amp; Casinos</t>
  </si>
  <si>
    <t xml:space="preserve">Miriam Adelson &amp; family</t>
  </si>
  <si>
    <t xml:space="preserve">Las Vegas</t>
  </si>
  <si>
    <t xml:space="preserve">Casinos</t>
  </si>
  <si>
    <t xml:space="preserve">Adelson</t>
  </si>
  <si>
    <t xml:space="preserve">Miriam</t>
  </si>
  <si>
    <t xml:space="preserve">Ken Griffin</t>
  </si>
  <si>
    <t xml:space="preserve">Miami</t>
  </si>
  <si>
    <t xml:space="preserve">Hedge funds</t>
  </si>
  <si>
    <t xml:space="preserve">Griffin</t>
  </si>
  <si>
    <t xml:space="preserve">Ken</t>
  </si>
  <si>
    <t xml:space="preserve">Mark Mateschitz</t>
  </si>
  <si>
    <t xml:space="preserve">Austria</t>
  </si>
  <si>
    <t xml:space="preserve">Salzburg</t>
  </si>
  <si>
    <t xml:space="preserve">Red Bull</t>
  </si>
  <si>
    <t xml:space="preserve">Mateschitz</t>
  </si>
  <si>
    <t xml:space="preserve">Robin Zeng</t>
  </si>
  <si>
    <t xml:space="preserve">Ningde</t>
  </si>
  <si>
    <t xml:space="preserve">Batteries</t>
  </si>
  <si>
    <t xml:space="preserve">Zeng</t>
  </si>
  <si>
    <t xml:space="preserve">Robin</t>
  </si>
  <si>
    <t xml:space="preserve">Tadashi Yanai &amp; family</t>
  </si>
  <si>
    <t xml:space="preserve">Japan</t>
  </si>
  <si>
    <t xml:space="preserve">Tokyo</t>
  </si>
  <si>
    <t xml:space="preserve">Fashion retail</t>
  </si>
  <si>
    <t xml:space="preserve">Yanai</t>
  </si>
  <si>
    <t xml:space="preserve">Tadashi</t>
  </si>
  <si>
    <t xml:space="preserve">Len Blavatnik</t>
  </si>
  <si>
    <t xml:space="preserve">United Kingdom</t>
  </si>
  <si>
    <t xml:space="preserve">London</t>
  </si>
  <si>
    <t xml:space="preserve">Music, chemicals</t>
  </si>
  <si>
    <t xml:space="preserve">Blavatnik</t>
  </si>
  <si>
    <t xml:space="preserve">Len</t>
  </si>
  <si>
    <t xml:space="preserve">Alain Wertheimer</t>
  </si>
  <si>
    <t xml:space="preserve">Chanel</t>
  </si>
  <si>
    <t xml:space="preserve">Wertheimer</t>
  </si>
  <si>
    <t xml:space="preserve">Alain</t>
  </si>
  <si>
    <t xml:space="preserve">Gerard Wertheimer</t>
  </si>
  <si>
    <t xml:space="preserve">Gerard</t>
  </si>
  <si>
    <t xml:space="preserve">Gianluigi Aponte</t>
  </si>
  <si>
    <t xml:space="preserve">Geneva</t>
  </si>
  <si>
    <t xml:space="preserve">Aponte</t>
  </si>
  <si>
    <t xml:space="preserve">Gianluigi</t>
  </si>
  <si>
    <t xml:space="preserve">Rafaela Aponte-Diamant</t>
  </si>
  <si>
    <t xml:space="preserve">Aponte-Diamant</t>
  </si>
  <si>
    <t xml:space="preserve">Rafaela</t>
  </si>
  <si>
    <t xml:space="preserve">Colin Zheng Huang</t>
  </si>
  <si>
    <t xml:space="preserve">Shanghai</t>
  </si>
  <si>
    <t xml:space="preserve">E-commerce</t>
  </si>
  <si>
    <t xml:space="preserve">Huang</t>
  </si>
  <si>
    <t xml:space="preserve">Colin Zheng</t>
  </si>
  <si>
    <t xml:space="preserve">Manufacturing</t>
  </si>
  <si>
    <t xml:space="preserve">Reinhold Wuerth &amp; family</t>
  </si>
  <si>
    <t xml:space="preserve">Kuenzelsau</t>
  </si>
  <si>
    <t xml:space="preserve">Fasteners</t>
  </si>
  <si>
    <t xml:space="preserve">Wuerth</t>
  </si>
  <si>
    <t xml:space="preserve">Reinhold</t>
  </si>
  <si>
    <t xml:space="preserve">Jeff Yass</t>
  </si>
  <si>
    <t xml:space="preserve">Haverford</t>
  </si>
  <si>
    <t xml:space="preserve">Trading, investments</t>
  </si>
  <si>
    <t xml:space="preserve">Yass</t>
  </si>
  <si>
    <t xml:space="preserve">Jim Simons</t>
  </si>
  <si>
    <t xml:space="preserve">East Setauket</t>
  </si>
  <si>
    <t xml:space="preserve">Simons</t>
  </si>
  <si>
    <t xml:space="preserve">Stephen Schwarzman</t>
  </si>
  <si>
    <t xml:space="preserve">Investments</t>
  </si>
  <si>
    <t xml:space="preserve">Schwarzman</t>
  </si>
  <si>
    <t xml:space="preserve">Stephen</t>
  </si>
  <si>
    <t xml:space="preserve">Susanne Klatten</t>
  </si>
  <si>
    <t xml:space="preserve">Bad Homburg</t>
  </si>
  <si>
    <t xml:space="preserve">BMW, pharmaceuticals</t>
  </si>
  <si>
    <t xml:space="preserve">Klatten</t>
  </si>
  <si>
    <t xml:space="preserve">Susanne</t>
  </si>
  <si>
    <t xml:space="preserve">Metals &amp; Mining</t>
  </si>
  <si>
    <t xml:space="preserve">Gina Rinehart</t>
  </si>
  <si>
    <t xml:space="preserve">Australia</t>
  </si>
  <si>
    <t xml:space="preserve">Perth</t>
  </si>
  <si>
    <t xml:space="preserve">Mining</t>
  </si>
  <si>
    <t xml:space="preserve">Rinehart</t>
  </si>
  <si>
    <t xml:space="preserve">Gina</t>
  </si>
  <si>
    <t xml:space="preserve">William Ding</t>
  </si>
  <si>
    <t xml:space="preserve">Online games</t>
  </si>
  <si>
    <t xml:space="preserve">Ding</t>
  </si>
  <si>
    <t xml:space="preserve">William</t>
  </si>
  <si>
    <t xml:space="preserve">Germán Larrea Mota Velasco &amp; family</t>
  </si>
  <si>
    <t xml:space="preserve">Larrea Mota Velasco</t>
  </si>
  <si>
    <t xml:space="preserve">Germán</t>
  </si>
  <si>
    <t xml:space="preserve">Shiv Nadar</t>
  </si>
  <si>
    <t xml:space="preserve">Delhi</t>
  </si>
  <si>
    <t xml:space="preserve">software services</t>
  </si>
  <si>
    <t xml:space="preserve">Nadar</t>
  </si>
  <si>
    <t xml:space="preserve">Shiv</t>
  </si>
  <si>
    <t xml:space="preserve">Energy</t>
  </si>
  <si>
    <t xml:space="preserve">Low Tuck Kwong</t>
  </si>
  <si>
    <t xml:space="preserve">Indonesia</t>
  </si>
  <si>
    <t xml:space="preserve">Jakarta</t>
  </si>
  <si>
    <t xml:space="preserve">Coal</t>
  </si>
  <si>
    <t xml:space="preserve">Low Tuck</t>
  </si>
  <si>
    <t xml:space="preserve">Kwong</t>
  </si>
  <si>
    <t xml:space="preserve">Thomas Peterffy</t>
  </si>
  <si>
    <t xml:space="preserve">Palm Beach</t>
  </si>
  <si>
    <t xml:space="preserve">Discount brokerage</t>
  </si>
  <si>
    <t xml:space="preserve">Peterffy</t>
  </si>
  <si>
    <t xml:space="preserve">Thomas</t>
  </si>
  <si>
    <t xml:space="preserve">Andrey Melnichenko &amp; family</t>
  </si>
  <si>
    <t xml:space="preserve">United Arab Emirates</t>
  </si>
  <si>
    <t xml:space="preserve">Ras Al Khaimah</t>
  </si>
  <si>
    <t xml:space="preserve">Fertilizers, coal</t>
  </si>
  <si>
    <t xml:space="preserve">Melnichenko</t>
  </si>
  <si>
    <t xml:space="preserve">Andrey</t>
  </si>
  <si>
    <t xml:space="preserve">Stefan Quandt</t>
  </si>
  <si>
    <t xml:space="preserve">Frankfurt</t>
  </si>
  <si>
    <t xml:space="preserve">BMW</t>
  </si>
  <si>
    <t xml:space="preserve">Quandt</t>
  </si>
  <si>
    <t xml:space="preserve">Stefan</t>
  </si>
  <si>
    <t xml:space="preserve">MacKenzie Scott</t>
  </si>
  <si>
    <t xml:space="preserve">Seattle</t>
  </si>
  <si>
    <t xml:space="preserve">Scott</t>
  </si>
  <si>
    <t xml:space="preserve">MacKenzie</t>
  </si>
  <si>
    <t xml:space="preserve">R. Budi Hartono</t>
  </si>
  <si>
    <t xml:space="preserve">Kudus</t>
  </si>
  <si>
    <t xml:space="preserve">Banking, tobacco</t>
  </si>
  <si>
    <t xml:space="preserve">Hartono</t>
  </si>
  <si>
    <t xml:space="preserve">R. Budi</t>
  </si>
  <si>
    <t xml:space="preserve">Vladimir Potanin</t>
  </si>
  <si>
    <t xml:space="preserve">Russia</t>
  </si>
  <si>
    <t xml:space="preserve">Moscow</t>
  </si>
  <si>
    <t xml:space="preserve">Metals</t>
  </si>
  <si>
    <t xml:space="preserve">Potanin</t>
  </si>
  <si>
    <t xml:space="preserve">Vladimir</t>
  </si>
  <si>
    <t xml:space="preserve">Jack Ma</t>
  </si>
  <si>
    <t xml:space="preserve">Jack</t>
  </si>
  <si>
    <t xml:space="preserve">He Xiangjian &amp; family</t>
  </si>
  <si>
    <t xml:space="preserve">Foshan</t>
  </si>
  <si>
    <t xml:space="preserve">Home appliances</t>
  </si>
  <si>
    <t xml:space="preserve">He</t>
  </si>
  <si>
    <t xml:space="preserve">Xiangjian</t>
  </si>
  <si>
    <t xml:space="preserve">Iris Fontbona &amp; family</t>
  </si>
  <si>
    <t xml:space="preserve">Chile</t>
  </si>
  <si>
    <t xml:space="preserve">Santiago</t>
  </si>
  <si>
    <t xml:space="preserve">Fontbona</t>
  </si>
  <si>
    <t xml:space="preserve">Iris</t>
  </si>
  <si>
    <t xml:space="preserve">Michael Hartono</t>
  </si>
  <si>
    <t xml:space="preserve">James Ratcliffe</t>
  </si>
  <si>
    <t xml:space="preserve">Chemicals</t>
  </si>
  <si>
    <t xml:space="preserve">Ratcliffe</t>
  </si>
  <si>
    <t xml:space="preserve">James</t>
  </si>
  <si>
    <t xml:space="preserve">Healthcare</t>
  </si>
  <si>
    <t xml:space="preserve">Cyrus Poonawalla</t>
  </si>
  <si>
    <t xml:space="preserve">Pune</t>
  </si>
  <si>
    <t xml:space="preserve">Vaccines</t>
  </si>
  <si>
    <t xml:space="preserve">Poonawalla</t>
  </si>
  <si>
    <t xml:space="preserve">Cyrus</t>
  </si>
  <si>
    <t xml:space="preserve">Masayoshi Son</t>
  </si>
  <si>
    <t xml:space="preserve">Internet, telecom</t>
  </si>
  <si>
    <t xml:space="preserve">Son</t>
  </si>
  <si>
    <t xml:space="preserve">Masayoshi</t>
  </si>
  <si>
    <t xml:space="preserve">Vladimir Lisin</t>
  </si>
  <si>
    <t xml:space="preserve">Steel, transport</t>
  </si>
  <si>
    <t xml:space="preserve">Lisin</t>
  </si>
  <si>
    <t xml:space="preserve">Emmanuel Besnier</t>
  </si>
  <si>
    <t xml:space="preserve">Laval</t>
  </si>
  <si>
    <t xml:space="preserve">Cheese</t>
  </si>
  <si>
    <t xml:space="preserve">Besnier</t>
  </si>
  <si>
    <t xml:space="preserve">Emmanuel</t>
  </si>
  <si>
    <t xml:space="preserve">Abigail Johnson</t>
  </si>
  <si>
    <t xml:space="preserve">Milton</t>
  </si>
  <si>
    <t xml:space="preserve">Fidelity</t>
  </si>
  <si>
    <t xml:space="preserve">Johnson</t>
  </si>
  <si>
    <t xml:space="preserve">Abigail</t>
  </si>
  <si>
    <t xml:space="preserve">Leonid Mikhelson &amp; family</t>
  </si>
  <si>
    <t xml:space="preserve">Gas, chemicals</t>
  </si>
  <si>
    <t xml:space="preserve">Mikhelson</t>
  </si>
  <si>
    <t xml:space="preserve">Leonid</t>
  </si>
  <si>
    <t xml:space="preserve">Lukas Walton</t>
  </si>
  <si>
    <t xml:space="preserve">Chicago</t>
  </si>
  <si>
    <t xml:space="preserve">Lukas</t>
  </si>
  <si>
    <t xml:space="preserve">Service</t>
  </si>
  <si>
    <t xml:space="preserve">Wang Wei</t>
  </si>
  <si>
    <t xml:space="preserve">Package delivery</t>
  </si>
  <si>
    <t xml:space="preserve">Wang</t>
  </si>
  <si>
    <t xml:space="preserve">Wei</t>
  </si>
  <si>
    <t xml:space="preserve">Jensen Huang</t>
  </si>
  <si>
    <t xml:space="preserve">Semiconductors</t>
  </si>
  <si>
    <t xml:space="preserve">Jensen</t>
  </si>
  <si>
    <t xml:space="preserve">Leonard Lauder</t>
  </si>
  <si>
    <t xml:space="preserve">Estee Lauder</t>
  </si>
  <si>
    <t xml:space="preserve">Lauder</t>
  </si>
  <si>
    <t xml:space="preserve">Leonard</t>
  </si>
  <si>
    <t xml:space="preserve">Takemitsu Takizaki</t>
  </si>
  <si>
    <t xml:space="preserve">Osaka</t>
  </si>
  <si>
    <t xml:space="preserve">Sensors</t>
  </si>
  <si>
    <t xml:space="preserve">Takizaki</t>
  </si>
  <si>
    <t xml:space="preserve">Takemitsu</t>
  </si>
  <si>
    <t xml:space="preserve">Alexey Mordashov &amp; family</t>
  </si>
  <si>
    <t xml:space="preserve">Steel, investments</t>
  </si>
  <si>
    <t xml:space="preserve">Mordashov</t>
  </si>
  <si>
    <t xml:space="preserve">Alexey</t>
  </si>
  <si>
    <t xml:space="preserve">Vagit Alekperov</t>
  </si>
  <si>
    <t xml:space="preserve">Oil</t>
  </si>
  <si>
    <t xml:space="preserve">Alekperov</t>
  </si>
  <si>
    <t xml:space="preserve">Vagit</t>
  </si>
  <si>
    <t xml:space="preserve">Thomas Frist, Jr. &amp; family</t>
  </si>
  <si>
    <t xml:space="preserve">Nashville</t>
  </si>
  <si>
    <t xml:space="preserve">Hospitals</t>
  </si>
  <si>
    <t xml:space="preserve">Frist</t>
  </si>
  <si>
    <t xml:space="preserve">Andrew Forrest</t>
  </si>
  <si>
    <t xml:space="preserve">Forrest</t>
  </si>
  <si>
    <t xml:space="preserve">Andrew</t>
  </si>
  <si>
    <t xml:space="preserve">Ray Dalio</t>
  </si>
  <si>
    <t xml:space="preserve">Greenwich</t>
  </si>
  <si>
    <t xml:space="preserve">Dalio</t>
  </si>
  <si>
    <t xml:space="preserve">Ray</t>
  </si>
  <si>
    <t xml:space="preserve">Eric Li</t>
  </si>
  <si>
    <t xml:space="preserve">Automobiles</t>
  </si>
  <si>
    <t xml:space="preserve">Li</t>
  </si>
  <si>
    <t xml:space="preserve">Eric</t>
  </si>
  <si>
    <t xml:space="preserve">Wang Wenyin</t>
  </si>
  <si>
    <t xml:space="preserve">Mining, copper products</t>
  </si>
  <si>
    <t xml:space="preserve">Wenyin</t>
  </si>
  <si>
    <t xml:space="preserve">Qin Yinglin</t>
  </si>
  <si>
    <t xml:space="preserve">Nanyang</t>
  </si>
  <si>
    <t xml:space="preserve">Pig breeding</t>
  </si>
  <si>
    <t xml:space="preserve">Qin</t>
  </si>
  <si>
    <t xml:space="preserve">Yinglin</t>
  </si>
  <si>
    <t xml:space="preserve">Wang Chuanfu</t>
  </si>
  <si>
    <t xml:space="preserve">Batteries, automobiles</t>
  </si>
  <si>
    <t xml:space="preserve">Chuanfu</t>
  </si>
  <si>
    <t xml:space="preserve">Harold Hamm &amp; family</t>
  </si>
  <si>
    <t xml:space="preserve">Oklahoma City</t>
  </si>
  <si>
    <t xml:space="preserve">Oil &amp; gas</t>
  </si>
  <si>
    <t xml:space="preserve">Hamm</t>
  </si>
  <si>
    <t xml:space="preserve">Harold</t>
  </si>
  <si>
    <t xml:space="preserve">David Tepper</t>
  </si>
  <si>
    <t xml:space="preserve">Tepper</t>
  </si>
  <si>
    <t xml:space="preserve">Gennady Timchenko</t>
  </si>
  <si>
    <t xml:space="preserve">Oil, gas</t>
  </si>
  <si>
    <t xml:space="preserve">Timchenko</t>
  </si>
  <si>
    <t xml:space="preserve">Gennady</t>
  </si>
  <si>
    <t xml:space="preserve">Daniel Gilbert</t>
  </si>
  <si>
    <t xml:space="preserve">Franklin</t>
  </si>
  <si>
    <t xml:space="preserve">Quicken Loans</t>
  </si>
  <si>
    <t xml:space="preserve">Gilbert</t>
  </si>
  <si>
    <t xml:space="preserve">Daniel</t>
  </si>
  <si>
    <t xml:space="preserve">Lakshmi Mittal</t>
  </si>
  <si>
    <t xml:space="preserve">Steel</t>
  </si>
  <si>
    <t xml:space="preserve">Mittal</t>
  </si>
  <si>
    <t xml:space="preserve">Lakshmi</t>
  </si>
  <si>
    <t xml:space="preserve">Steve Cohen</t>
  </si>
  <si>
    <t xml:space="preserve">Cohen</t>
  </si>
  <si>
    <t xml:space="preserve">Carl Icahn</t>
  </si>
  <si>
    <t xml:space="preserve">Indian Creek</t>
  </si>
  <si>
    <t xml:space="preserve">Icahn</t>
  </si>
  <si>
    <t xml:space="preserve">Carl</t>
  </si>
  <si>
    <t xml:space="preserve">Savitri Jindal &amp; family</t>
  </si>
  <si>
    <t xml:space="preserve">Hisar</t>
  </si>
  <si>
    <t xml:space="preserve">Jindal</t>
  </si>
  <si>
    <t xml:space="preserve">Savitri</t>
  </si>
  <si>
    <t xml:space="preserve">Real Estate</t>
  </si>
  <si>
    <t xml:space="preserve">Donald Bren</t>
  </si>
  <si>
    <t xml:space="preserve">Newport Beach</t>
  </si>
  <si>
    <t xml:space="preserve">Real estate</t>
  </si>
  <si>
    <t xml:space="preserve">Bren</t>
  </si>
  <si>
    <t xml:space="preserve">Donald</t>
  </si>
  <si>
    <t xml:space="preserve">John Menard, Jr.</t>
  </si>
  <si>
    <t xml:space="preserve">Eau Claire</t>
  </si>
  <si>
    <t xml:space="preserve">Home improvement stores</t>
  </si>
  <si>
    <t xml:space="preserve">Menard</t>
  </si>
  <si>
    <t xml:space="preserve">Rupert Murdoch &amp; family</t>
  </si>
  <si>
    <t xml:space="preserve">Newspapers, TV network</t>
  </si>
  <si>
    <t xml:space="preserve">Murdoch</t>
  </si>
  <si>
    <t xml:space="preserve">Rupert</t>
  </si>
  <si>
    <t xml:space="preserve">Vicky Safra &amp; family</t>
  </si>
  <si>
    <t xml:space="preserve">Crans-Montana</t>
  </si>
  <si>
    <t xml:space="preserve">Banking</t>
  </si>
  <si>
    <t xml:space="preserve">Safra</t>
  </si>
  <si>
    <t xml:space="preserve">Vicky</t>
  </si>
  <si>
    <t xml:space="preserve">Theo Albrecht, Jr. &amp; family</t>
  </si>
  <si>
    <t xml:space="preserve">Mulheim an der Ruhr</t>
  </si>
  <si>
    <t xml:space="preserve">Aldi, Trader Joe's</t>
  </si>
  <si>
    <t xml:space="preserve">Albrecht</t>
  </si>
  <si>
    <t xml:space="preserve">Theo</t>
  </si>
  <si>
    <t xml:space="preserve">Renata Kellnerova &amp; family</t>
  </si>
  <si>
    <t xml:space="preserve">Czech Republic</t>
  </si>
  <si>
    <t xml:space="preserve">Prague</t>
  </si>
  <si>
    <t xml:space="preserve">Finance, telecommunications</t>
  </si>
  <si>
    <t xml:space="preserve">Kellnerova</t>
  </si>
  <si>
    <t xml:space="preserve">Renata</t>
  </si>
  <si>
    <t xml:space="preserve">Li Xiting</t>
  </si>
  <si>
    <t xml:space="preserve">medical devices</t>
  </si>
  <si>
    <t xml:space="preserve">Xiting</t>
  </si>
  <si>
    <t xml:space="preserve">Stefan Persson</t>
  </si>
  <si>
    <t xml:space="preserve">Sweden</t>
  </si>
  <si>
    <t xml:space="preserve">Stockholm</t>
  </si>
  <si>
    <t xml:space="preserve">H&amp;M</t>
  </si>
  <si>
    <t xml:space="preserve">Persson</t>
  </si>
  <si>
    <t xml:space="preserve">Eric Schmidt</t>
  </si>
  <si>
    <t xml:space="preserve">Atherton</t>
  </si>
  <si>
    <t xml:space="preserve">Schmidt</t>
  </si>
  <si>
    <t xml:space="preserve">Michael Platt</t>
  </si>
  <si>
    <t xml:space="preserve">Platt</t>
  </si>
  <si>
    <t xml:space="preserve">Pang Kang</t>
  </si>
  <si>
    <t xml:space="preserve">Soy sauce</t>
  </si>
  <si>
    <t xml:space="preserve">Pang</t>
  </si>
  <si>
    <t xml:space="preserve">Kang</t>
  </si>
  <si>
    <t xml:space="preserve">Jorge Paulo Lemann &amp; family</t>
  </si>
  <si>
    <t xml:space="preserve">Zurich</t>
  </si>
  <si>
    <t xml:space="preserve">Beer</t>
  </si>
  <si>
    <t xml:space="preserve">Lemann</t>
  </si>
  <si>
    <t xml:space="preserve">Jorge Paulo</t>
  </si>
  <si>
    <t xml:space="preserve">Dilip Shanghvi</t>
  </si>
  <si>
    <t xml:space="preserve">Pharmaceuticals</t>
  </si>
  <si>
    <t xml:space="preserve">Shanghvi</t>
  </si>
  <si>
    <t xml:space="preserve">Dilip</t>
  </si>
  <si>
    <t xml:space="preserve">Robert Pera</t>
  </si>
  <si>
    <t xml:space="preserve">San Jose</t>
  </si>
  <si>
    <t xml:space="preserve">Wireless networking</t>
  </si>
  <si>
    <t xml:space="preserve">Pera</t>
  </si>
  <si>
    <t xml:space="preserve">Robert</t>
  </si>
  <si>
    <t xml:space="preserve">Radhakishan Damani</t>
  </si>
  <si>
    <t xml:space="preserve">Retail, investments</t>
  </si>
  <si>
    <t xml:space="preserve">Damani</t>
  </si>
  <si>
    <t xml:space="preserve">Radhakishan</t>
  </si>
  <si>
    <t xml:space="preserve">Huang Shilin</t>
  </si>
  <si>
    <t xml:space="preserve">Shilin</t>
  </si>
  <si>
    <t xml:space="preserve">Dhanin Chearavanont</t>
  </si>
  <si>
    <t xml:space="preserve">Thailand</t>
  </si>
  <si>
    <t xml:space="preserve">Bangkok</t>
  </si>
  <si>
    <t xml:space="preserve">Chearavanont</t>
  </si>
  <si>
    <t xml:space="preserve">Dhanin</t>
  </si>
  <si>
    <t xml:space="preserve">David Green &amp; family</t>
  </si>
  <si>
    <t xml:space="preserve">Green</t>
  </si>
  <si>
    <t xml:space="preserve">Charoen Sirivadhanabhakdi</t>
  </si>
  <si>
    <t xml:space="preserve">Alcohol, real estate</t>
  </si>
  <si>
    <t xml:space="preserve">Sirivadhanabhakdi</t>
  </si>
  <si>
    <t xml:space="preserve">Charoen</t>
  </si>
  <si>
    <t xml:space="preserve">Charlene de Carvalho-Heineken &amp; family</t>
  </si>
  <si>
    <t xml:space="preserve">Heineken</t>
  </si>
  <si>
    <t xml:space="preserve">de Carvalho-Heineken</t>
  </si>
  <si>
    <t xml:space="preserve">Charlene</t>
  </si>
  <si>
    <t xml:space="preserve">Xu Hang</t>
  </si>
  <si>
    <t xml:space="preserve">Medical devices</t>
  </si>
  <si>
    <t xml:space="preserve">Xu</t>
  </si>
  <si>
    <t xml:space="preserve">Hang</t>
  </si>
  <si>
    <t xml:space="preserve">Wei Jianjun &amp; family</t>
  </si>
  <si>
    <t xml:space="preserve">Baoding</t>
  </si>
  <si>
    <t xml:space="preserve">Jianjun</t>
  </si>
  <si>
    <t xml:space="preserve">Goh Cheng Liang</t>
  </si>
  <si>
    <t xml:space="preserve">Singapore</t>
  </si>
  <si>
    <t xml:space="preserve">Paints</t>
  </si>
  <si>
    <t xml:space="preserve">Goh</t>
  </si>
  <si>
    <t xml:space="preserve">Cheng Liang</t>
  </si>
  <si>
    <t xml:space="preserve">Kumar Birla</t>
  </si>
  <si>
    <t xml:space="preserve">Commodities</t>
  </si>
  <si>
    <t xml:space="preserve">Birla</t>
  </si>
  <si>
    <t xml:space="preserve">Kumar</t>
  </si>
  <si>
    <t xml:space="preserve">Aliko Dangote</t>
  </si>
  <si>
    <t xml:space="preserve">Nigeria</t>
  </si>
  <si>
    <t xml:space="preserve">Lagos</t>
  </si>
  <si>
    <t xml:space="preserve">Cement, sugar</t>
  </si>
  <si>
    <t xml:space="preserve">Dangote</t>
  </si>
  <si>
    <t xml:space="preserve">Aliko</t>
  </si>
  <si>
    <t xml:space="preserve">Idan Ofer</t>
  </si>
  <si>
    <t xml:space="preserve">Ofer</t>
  </si>
  <si>
    <t xml:space="preserve">Idan</t>
  </si>
  <si>
    <t xml:space="preserve">Chen Bang</t>
  </si>
  <si>
    <t xml:space="preserve">Changsha</t>
  </si>
  <si>
    <t xml:space="preserve">Chen</t>
  </si>
  <si>
    <t xml:space="preserve">Bang</t>
  </si>
  <si>
    <t xml:space="preserve">John Fredriksen</t>
  </si>
  <si>
    <t xml:space="preserve">Fredriksen</t>
  </si>
  <si>
    <t xml:space="preserve">Construction &amp; Engineering</t>
  </si>
  <si>
    <t xml:space="preserve">Diane Hendricks</t>
  </si>
  <si>
    <t xml:space="preserve">Afton</t>
  </si>
  <si>
    <t xml:space="preserve">Building supplies</t>
  </si>
  <si>
    <t xml:space="preserve">Hendricks</t>
  </si>
  <si>
    <t xml:space="preserve">Diane</t>
  </si>
  <si>
    <t xml:space="preserve">Jan Koum</t>
  </si>
  <si>
    <t xml:space="preserve">WhatsApp</t>
  </si>
  <si>
    <t xml:space="preserve">Koum</t>
  </si>
  <si>
    <t xml:space="preserve">Jan</t>
  </si>
  <si>
    <t xml:space="preserve">Sports</t>
  </si>
  <si>
    <t xml:space="preserve">Jerry Jones</t>
  </si>
  <si>
    <t xml:space="preserve">Dallas</t>
  </si>
  <si>
    <t xml:space="preserve">Dallas Cowboys</t>
  </si>
  <si>
    <t xml:space="preserve">Jones</t>
  </si>
  <si>
    <t xml:space="preserve">Jerry</t>
  </si>
  <si>
    <t xml:space="preserve">George Kaiser</t>
  </si>
  <si>
    <t xml:space="preserve">Tulsa</t>
  </si>
  <si>
    <t xml:space="preserve">Oil &amp; gas, banking</t>
  </si>
  <si>
    <t xml:space="preserve">Kaiser</t>
  </si>
  <si>
    <t xml:space="preserve">George</t>
  </si>
  <si>
    <t xml:space="preserve">Lu Xiangyang</t>
  </si>
  <si>
    <t xml:space="preserve">Guangzhou</t>
  </si>
  <si>
    <t xml:space="preserve">Automobiles, batteries</t>
  </si>
  <si>
    <t xml:space="preserve">Lu</t>
  </si>
  <si>
    <t xml:space="preserve">Xiangyang</t>
  </si>
  <si>
    <t xml:space="preserve">Harry Triguboff</t>
  </si>
  <si>
    <t xml:space="preserve">Sydney</t>
  </si>
  <si>
    <t xml:space="preserve">Triguboff</t>
  </si>
  <si>
    <t xml:space="preserve">Harry</t>
  </si>
  <si>
    <t xml:space="preserve">Uday Kotak</t>
  </si>
  <si>
    <t xml:space="preserve">Kotak</t>
  </si>
  <si>
    <t xml:space="preserve">Uday</t>
  </si>
  <si>
    <t xml:space="preserve">Stanley Kroenke</t>
  </si>
  <si>
    <t xml:space="preserve">Electra</t>
  </si>
  <si>
    <t xml:space="preserve">Sports, real estate</t>
  </si>
  <si>
    <t xml:space="preserve">Kroenke</t>
  </si>
  <si>
    <t xml:space="preserve">Stanley</t>
  </si>
  <si>
    <t xml:space="preserve">Mikhail Fridman</t>
  </si>
  <si>
    <t xml:space="preserve">Oil, banking, telecom</t>
  </si>
  <si>
    <t xml:space="preserve">Fridman</t>
  </si>
  <si>
    <t xml:space="preserve">Mikhail</t>
  </si>
  <si>
    <t xml:space="preserve">Sarath Ratanavadi</t>
  </si>
  <si>
    <t xml:space="preserve">Ratanavadi</t>
  </si>
  <si>
    <t xml:space="preserve">Sarath</t>
  </si>
  <si>
    <t xml:space="preserve">Dang Yanbao</t>
  </si>
  <si>
    <t xml:space="preserve">Yinchuan</t>
  </si>
  <si>
    <t xml:space="preserve">Dang</t>
  </si>
  <si>
    <t xml:space="preserve">Yanbao</t>
  </si>
  <si>
    <t xml:space="preserve">Jiang Rensheng &amp; family</t>
  </si>
  <si>
    <t xml:space="preserve">Chongqing</t>
  </si>
  <si>
    <t xml:space="preserve">Jiang</t>
  </si>
  <si>
    <t xml:space="preserve">Rensheng</t>
  </si>
  <si>
    <t xml:space="preserve">Shahid Khan</t>
  </si>
  <si>
    <t xml:space="preserve">Naples</t>
  </si>
  <si>
    <t xml:space="preserve">Auto parts</t>
  </si>
  <si>
    <t xml:space="preserve">Khan</t>
  </si>
  <si>
    <t xml:space="preserve">Shahid</t>
  </si>
  <si>
    <t xml:space="preserve">Laurene Powell Jobs &amp; family</t>
  </si>
  <si>
    <t xml:space="preserve">Apple, Disney</t>
  </si>
  <si>
    <t xml:space="preserve">Powell Jobs</t>
  </si>
  <si>
    <t xml:space="preserve">Laurene</t>
  </si>
  <si>
    <t xml:space="preserve">Stephen Ross</t>
  </si>
  <si>
    <t xml:space="preserve">Ross</t>
  </si>
  <si>
    <t xml:space="preserve">Pavel Durov</t>
  </si>
  <si>
    <t xml:space="preserve">Dubai</t>
  </si>
  <si>
    <t xml:space="preserve">Messaging app</t>
  </si>
  <si>
    <t xml:space="preserve">Durov</t>
  </si>
  <si>
    <t xml:space="preserve">Pavel</t>
  </si>
  <si>
    <t xml:space="preserve">Andreas Struengmann &amp; family</t>
  </si>
  <si>
    <t xml:space="preserve">Tegernsee</t>
  </si>
  <si>
    <t xml:space="preserve">Struengmann</t>
  </si>
  <si>
    <t xml:space="preserve">Andreas</t>
  </si>
  <si>
    <t xml:space="preserve">Thomas Struengmann &amp; family</t>
  </si>
  <si>
    <t xml:space="preserve">Liu Hanyuan</t>
  </si>
  <si>
    <t xml:space="preserve">Chengdu</t>
  </si>
  <si>
    <t xml:space="preserve">Agribusiness</t>
  </si>
  <si>
    <t xml:space="preserve">Liu</t>
  </si>
  <si>
    <t xml:space="preserve">Hanyuan</t>
  </si>
  <si>
    <t xml:space="preserve">Michael Rubin</t>
  </si>
  <si>
    <t xml:space="preserve">Bryn Mawr</t>
  </si>
  <si>
    <t xml:space="preserve">Online retail</t>
  </si>
  <si>
    <t xml:space="preserve">Rubin</t>
  </si>
  <si>
    <t xml:space="preserve">Israel Englander</t>
  </si>
  <si>
    <t xml:space="preserve">Englander</t>
  </si>
  <si>
    <t xml:space="preserve">Israel</t>
  </si>
  <si>
    <t xml:space="preserve">Viatcheslav Kantor</t>
  </si>
  <si>
    <t xml:space="preserve">Herzliya</t>
  </si>
  <si>
    <t xml:space="preserve">Fertilizer, real estate</t>
  </si>
  <si>
    <t xml:space="preserve">Kantor</t>
  </si>
  <si>
    <t xml:space="preserve">Viatcheslav</t>
  </si>
  <si>
    <t xml:space="preserve">Anthony Pratt</t>
  </si>
  <si>
    <t xml:space="preserve">Melbourne</t>
  </si>
  <si>
    <t xml:space="preserve">Pratt</t>
  </si>
  <si>
    <t xml:space="preserve">Anthony</t>
  </si>
  <si>
    <t xml:space="preserve">Mikhail Prokhorov</t>
  </si>
  <si>
    <t xml:space="preserve">Frauenfeld</t>
  </si>
  <si>
    <t xml:space="preserve">Prokhorov</t>
  </si>
  <si>
    <t xml:space="preserve">Giorgio Armani</t>
  </si>
  <si>
    <t xml:space="preserve">Italy</t>
  </si>
  <si>
    <t xml:space="preserve">Milan</t>
  </si>
  <si>
    <t xml:space="preserve">Armani</t>
  </si>
  <si>
    <t xml:space="preserve">Giorgio</t>
  </si>
  <si>
    <t xml:space="preserve">Johann Rupert &amp; family</t>
  </si>
  <si>
    <t xml:space="preserve">South Africa</t>
  </si>
  <si>
    <t xml:space="preserve">Cape Town</t>
  </si>
  <si>
    <t xml:space="preserve">Johann</t>
  </si>
  <si>
    <t xml:space="preserve">Zhang Zhidong</t>
  </si>
  <si>
    <t xml:space="preserve">Zhidong</t>
  </si>
  <si>
    <t xml:space="preserve">Philip Anschutz</t>
  </si>
  <si>
    <t xml:space="preserve">Denver</t>
  </si>
  <si>
    <t xml:space="preserve">Energy, sports, entertainment</t>
  </si>
  <si>
    <t xml:space="preserve">Anschutz</t>
  </si>
  <si>
    <t xml:space="preserve">Philip</t>
  </si>
  <si>
    <t xml:space="preserve">Judy Love &amp; family</t>
  </si>
  <si>
    <t xml:space="preserve">Gas stations</t>
  </si>
  <si>
    <t xml:space="preserve">Love</t>
  </si>
  <si>
    <t xml:space="preserve">Judy</t>
  </si>
  <si>
    <t xml:space="preserve">Ricardo Salinas Pliego &amp; family</t>
  </si>
  <si>
    <t xml:space="preserve">Retail, media</t>
  </si>
  <si>
    <t xml:space="preserve">Salinas Pliego</t>
  </si>
  <si>
    <t xml:space="preserve">Ricardo</t>
  </si>
  <si>
    <t xml:space="preserve">Donald Newhouse</t>
  </si>
  <si>
    <t xml:space="preserve">Newhouse</t>
  </si>
  <si>
    <t xml:space="preserve">Robert Kraft</t>
  </si>
  <si>
    <t xml:space="preserve">Brookline</t>
  </si>
  <si>
    <t xml:space="preserve">Manufacturing, New England Patriots</t>
  </si>
  <si>
    <t xml:space="preserve">Kraft</t>
  </si>
  <si>
    <t xml:space="preserve">Marcel Herrmann Telles</t>
  </si>
  <si>
    <t xml:space="preserve">Brazil</t>
  </si>
  <si>
    <t xml:space="preserve">Sao Paulo</t>
  </si>
  <si>
    <t xml:space="preserve">Telles</t>
  </si>
  <si>
    <t xml:space="preserve">Marcel Herrmann</t>
  </si>
  <si>
    <t xml:space="preserve">Suleiman Kerimov &amp; family</t>
  </si>
  <si>
    <t xml:space="preserve">Gold</t>
  </si>
  <si>
    <t xml:space="preserve">Kerimov &amp; family</t>
  </si>
  <si>
    <t xml:space="preserve">Suleiman</t>
  </si>
  <si>
    <t xml:space="preserve">Sky Xu</t>
  </si>
  <si>
    <t xml:space="preserve">Sky</t>
  </si>
  <si>
    <t xml:space="preserve">Changpeng Zhao</t>
  </si>
  <si>
    <t xml:space="preserve">Cryptocurrency exchange</t>
  </si>
  <si>
    <t xml:space="preserve">Zhao</t>
  </si>
  <si>
    <t xml:space="preserve">Changpeng</t>
  </si>
  <si>
    <t xml:space="preserve">Andrew Beal</t>
  </si>
  <si>
    <t xml:space="preserve">Banks, real estate</t>
  </si>
  <si>
    <t xml:space="preserve">Beal</t>
  </si>
  <si>
    <t xml:space="preserve">Mike Cannon-Brookes</t>
  </si>
  <si>
    <t xml:space="preserve">Software</t>
  </si>
  <si>
    <t xml:space="preserve">Cannon-Brookes</t>
  </si>
  <si>
    <t xml:space="preserve">Mike</t>
  </si>
  <si>
    <t xml:space="preserve">Carl Cook</t>
  </si>
  <si>
    <t xml:space="preserve">Bloomington</t>
  </si>
  <si>
    <t xml:space="preserve">Cook</t>
  </si>
  <si>
    <t xml:space="preserve">David Duffield</t>
  </si>
  <si>
    <t xml:space="preserve">Incline Village</t>
  </si>
  <si>
    <t xml:space="preserve">Business software</t>
  </si>
  <si>
    <t xml:space="preserve">Duffield</t>
  </si>
  <si>
    <t xml:space="preserve">Jeffery Hildebrand</t>
  </si>
  <si>
    <t xml:space="preserve">Houston</t>
  </si>
  <si>
    <t xml:space="preserve">Hildebrand</t>
  </si>
  <si>
    <t xml:space="preserve">Jeffery</t>
  </si>
  <si>
    <t xml:space="preserve">Viktor Rashnikov</t>
  </si>
  <si>
    <t xml:space="preserve">Magnitogorsk</t>
  </si>
  <si>
    <t xml:space="preserve">Rashnikov</t>
  </si>
  <si>
    <t xml:space="preserve">Viktor</t>
  </si>
  <si>
    <t xml:space="preserve">Eduardo Saverin</t>
  </si>
  <si>
    <t xml:space="preserve">Saverin</t>
  </si>
  <si>
    <t xml:space="preserve">Eduardo</t>
  </si>
  <si>
    <t xml:space="preserve">Georg Schaeffler</t>
  </si>
  <si>
    <t xml:space="preserve">Herzogenaurach</t>
  </si>
  <si>
    <t xml:space="preserve">Schaeffler</t>
  </si>
  <si>
    <t xml:space="preserve">Georg</t>
  </si>
  <si>
    <t xml:space="preserve">Christy Walton</t>
  </si>
  <si>
    <t xml:space="preserve">Christy</t>
  </si>
  <si>
    <t xml:space="preserve">Scott Farquhar</t>
  </si>
  <si>
    <t xml:space="preserve">Farquhar</t>
  </si>
  <si>
    <t xml:space="preserve">Quek Leng Chan</t>
  </si>
  <si>
    <t xml:space="preserve">Malaysia</t>
  </si>
  <si>
    <t xml:space="preserve">Kuala Lumpur</t>
  </si>
  <si>
    <t xml:space="preserve">Banking, property</t>
  </si>
  <si>
    <t xml:space="preserve">Quek</t>
  </si>
  <si>
    <t xml:space="preserve">Leng Chan</t>
  </si>
  <si>
    <t xml:space="preserve">Wu Yajun</t>
  </si>
  <si>
    <t xml:space="preserve">Wu</t>
  </si>
  <si>
    <t xml:space="preserve">Yajun</t>
  </si>
  <si>
    <t xml:space="preserve">Autry Stephens</t>
  </si>
  <si>
    <t xml:space="preserve">Midland</t>
  </si>
  <si>
    <t xml:space="preserve">Stephens</t>
  </si>
  <si>
    <t xml:space="preserve">Autry</t>
  </si>
  <si>
    <t xml:space="preserve">Liu Yongxing</t>
  </si>
  <si>
    <t xml:space="preserve">Yongxing</t>
  </si>
  <si>
    <t xml:space="preserve">Vinod Adani</t>
  </si>
  <si>
    <t xml:space="preserve">Vinod</t>
  </si>
  <si>
    <t xml:space="preserve">Nicolas Puech</t>
  </si>
  <si>
    <t xml:space="preserve">Martigny</t>
  </si>
  <si>
    <t xml:space="preserve">Hermes</t>
  </si>
  <si>
    <t xml:space="preserve">Puech</t>
  </si>
  <si>
    <t xml:space="preserve">Nicolas</t>
  </si>
  <si>
    <t xml:space="preserve">Jacques Saadé, Jr.</t>
  </si>
  <si>
    <t xml:space="preserve">Marseille</t>
  </si>
  <si>
    <t xml:space="preserve">Saadé</t>
  </si>
  <si>
    <t xml:space="preserve">Jacques</t>
  </si>
  <si>
    <t xml:space="preserve">Rodolphe Saadé</t>
  </si>
  <si>
    <t xml:space="preserve">Rodolphe</t>
  </si>
  <si>
    <t xml:space="preserve">Tanya Saadé Zeenny</t>
  </si>
  <si>
    <t xml:space="preserve">Saadé Zeenny</t>
  </si>
  <si>
    <t xml:space="preserve">Tanya</t>
  </si>
  <si>
    <t xml:space="preserve">Melker Schorling &amp; family</t>
  </si>
  <si>
    <t xml:space="preserve">Schorling</t>
  </si>
  <si>
    <t xml:space="preserve">Melker</t>
  </si>
  <si>
    <t xml:space="preserve">Andrei Guriev &amp; family</t>
  </si>
  <si>
    <t xml:space="preserve">Fertilizers</t>
  </si>
  <si>
    <t xml:space="preserve">Guriev &amp; family</t>
  </si>
  <si>
    <t xml:space="preserve">Andrei</t>
  </si>
  <si>
    <t xml:space="preserve">Michael Kim</t>
  </si>
  <si>
    <t xml:space="preserve">South Korea</t>
  </si>
  <si>
    <t xml:space="preserve">Seoul</t>
  </si>
  <si>
    <t xml:space="preserve">Private equity</t>
  </si>
  <si>
    <t xml:space="preserve">Kim</t>
  </si>
  <si>
    <t xml:space="preserve">Lei Jun</t>
  </si>
  <si>
    <t xml:space="preserve">Smartphones</t>
  </si>
  <si>
    <t xml:space="preserve">Lei</t>
  </si>
  <si>
    <t xml:space="preserve">Jun</t>
  </si>
  <si>
    <t xml:space="preserve">Friedhelm Loh</t>
  </si>
  <si>
    <t xml:space="preserve">Haiger</t>
  </si>
  <si>
    <t xml:space="preserve">Loh</t>
  </si>
  <si>
    <t xml:space="preserve">Friedhelm</t>
  </si>
  <si>
    <t xml:space="preserve">Sun Piaoyang</t>
  </si>
  <si>
    <t xml:space="preserve">Lianyungang</t>
  </si>
  <si>
    <t xml:space="preserve">Sun</t>
  </si>
  <si>
    <t xml:space="preserve">Piaoyang</t>
  </si>
  <si>
    <t xml:space="preserve">Rick Cohen &amp; family</t>
  </si>
  <si>
    <t xml:space="preserve">Keene</t>
  </si>
  <si>
    <t xml:space="preserve">Warehouse automation</t>
  </si>
  <si>
    <t xml:space="preserve">Rick</t>
  </si>
  <si>
    <t xml:space="preserve">Jin Baofang</t>
  </si>
  <si>
    <t xml:space="preserve">Xingtai</t>
  </si>
  <si>
    <t xml:space="preserve">Solar panels</t>
  </si>
  <si>
    <t xml:space="preserve">Jin</t>
  </si>
  <si>
    <t xml:space="preserve">Baofang</t>
  </si>
  <si>
    <t xml:space="preserve">Luo Liguo &amp; family</t>
  </si>
  <si>
    <t xml:space="preserve">Ningbo</t>
  </si>
  <si>
    <t xml:space="preserve">Luo</t>
  </si>
  <si>
    <t xml:space="preserve">Liguo</t>
  </si>
  <si>
    <t xml:space="preserve">Marijke Mars</t>
  </si>
  <si>
    <t xml:space="preserve">Los Angeles</t>
  </si>
  <si>
    <t xml:space="preserve">Marijke</t>
  </si>
  <si>
    <t xml:space="preserve">Pamela Mars</t>
  </si>
  <si>
    <t xml:space="preserve">Alexandria</t>
  </si>
  <si>
    <t xml:space="preserve">Pamela</t>
  </si>
  <si>
    <t xml:space="preserve">Valerie Mars</t>
  </si>
  <si>
    <t xml:space="preserve">Valerie</t>
  </si>
  <si>
    <t xml:space="preserve">Victoria Mars</t>
  </si>
  <si>
    <t xml:space="preserve">Philadelphia</t>
  </si>
  <si>
    <t xml:space="preserve">Victoria</t>
  </si>
  <si>
    <t xml:space="preserve">Vincent Bolloré &amp; family</t>
  </si>
  <si>
    <t xml:space="preserve">Bolloré</t>
  </si>
  <si>
    <t xml:space="preserve">Vincent</t>
  </si>
  <si>
    <t xml:space="preserve">Jim Pattison</t>
  </si>
  <si>
    <t xml:space="preserve">Vancouver</t>
  </si>
  <si>
    <t xml:space="preserve">Pattison</t>
  </si>
  <si>
    <t xml:space="preserve">Ernesto Bertarelli</t>
  </si>
  <si>
    <t xml:space="preserve">Gstaad</t>
  </si>
  <si>
    <t xml:space="preserve">Biotech, investments</t>
  </si>
  <si>
    <t xml:space="preserve">Bertarelli</t>
  </si>
  <si>
    <t xml:space="preserve">Ernesto</t>
  </si>
  <si>
    <t xml:space="preserve">Wang Xing</t>
  </si>
  <si>
    <t xml:space="preserve">Food delivery</t>
  </si>
  <si>
    <t xml:space="preserve">Xing</t>
  </si>
  <si>
    <t xml:space="preserve">Brian Chesky</t>
  </si>
  <si>
    <t xml:space="preserve">San Francisco</t>
  </si>
  <si>
    <t xml:space="preserve">Airbnb</t>
  </si>
  <si>
    <t xml:space="preserve">Chesky</t>
  </si>
  <si>
    <t xml:space="preserve">Brian</t>
  </si>
  <si>
    <t xml:space="preserve">James Dyson</t>
  </si>
  <si>
    <t xml:space="preserve">Gloucestershire</t>
  </si>
  <si>
    <t xml:space="preserve">Vacuums</t>
  </si>
  <si>
    <t xml:space="preserve">Dyson</t>
  </si>
  <si>
    <t xml:space="preserve">Roman Abramovich &amp; family</t>
  </si>
  <si>
    <t xml:space="preserve">Abramovich</t>
  </si>
  <si>
    <t xml:space="preserve">Roman</t>
  </si>
  <si>
    <t xml:space="preserve">Antonia Ax:son Johnson &amp; family</t>
  </si>
  <si>
    <t xml:space="preserve">Ax:son Johnson</t>
  </si>
  <si>
    <t xml:space="preserve">Antonia</t>
  </si>
  <si>
    <t xml:space="preserve">Daniel Kretinsky</t>
  </si>
  <si>
    <t xml:space="preserve">Energy, investments</t>
  </si>
  <si>
    <t xml:space="preserve">Kretinsky</t>
  </si>
  <si>
    <t xml:space="preserve">John Malone</t>
  </si>
  <si>
    <t xml:space="preserve">Elizabeth</t>
  </si>
  <si>
    <t xml:space="preserve">Cable television</t>
  </si>
  <si>
    <t xml:space="preserve">Malone</t>
  </si>
  <si>
    <t xml:space="preserve">Azim Premji</t>
  </si>
  <si>
    <t xml:space="preserve">Bangalore</t>
  </si>
  <si>
    <t xml:space="preserve">Software services</t>
  </si>
  <si>
    <t xml:space="preserve">Premji</t>
  </si>
  <si>
    <t xml:space="preserve">Azim</t>
  </si>
  <si>
    <t xml:space="preserve">Charles Schwab</t>
  </si>
  <si>
    <t xml:space="preserve">Woodside</t>
  </si>
  <si>
    <t xml:space="preserve">Schwab</t>
  </si>
  <si>
    <t xml:space="preserve">Eric Smidt</t>
  </si>
  <si>
    <t xml:space="preserve">Beverly Hills</t>
  </si>
  <si>
    <t xml:space="preserve">Hardware stores</t>
  </si>
  <si>
    <t xml:space="preserve">Smidt</t>
  </si>
  <si>
    <t xml:space="preserve">David Cheriton</t>
  </si>
  <si>
    <t xml:space="preserve">Cheriton</t>
  </si>
  <si>
    <t xml:space="preserve">Ivan Glasenberg</t>
  </si>
  <si>
    <t xml:space="preserve">Ruschlikon</t>
  </si>
  <si>
    <t xml:space="preserve">Glasenberg</t>
  </si>
  <si>
    <t xml:space="preserve">Ivan</t>
  </si>
  <si>
    <t xml:space="preserve">Alexander Otto</t>
  </si>
  <si>
    <t xml:space="preserve">Hamburg</t>
  </si>
  <si>
    <t xml:space="preserve">Otto</t>
  </si>
  <si>
    <t xml:space="preserve">Alexander</t>
  </si>
  <si>
    <t xml:space="preserve">Anthony von Mandl</t>
  </si>
  <si>
    <t xml:space="preserve">Alcoholic beverages</t>
  </si>
  <si>
    <t xml:space="preserve">von Mandl</t>
  </si>
  <si>
    <t xml:space="preserve">Wang Liping &amp; family</t>
  </si>
  <si>
    <t xml:space="preserve">Changzhou</t>
  </si>
  <si>
    <t xml:space="preserve">Hydraulic machinery</t>
  </si>
  <si>
    <t xml:space="preserve">Liping</t>
  </si>
  <si>
    <t xml:space="preserve">Finn Rausing</t>
  </si>
  <si>
    <t xml:space="preserve">Packaging</t>
  </si>
  <si>
    <t xml:space="preserve">Rausing</t>
  </si>
  <si>
    <t xml:space="preserve">Finn</t>
  </si>
  <si>
    <t xml:space="preserve">Jorn Rausing</t>
  </si>
  <si>
    <t xml:space="preserve">Surrey</t>
  </si>
  <si>
    <t xml:space="preserve">Jorn</t>
  </si>
  <si>
    <t xml:space="preserve">Kirsten Rausing</t>
  </si>
  <si>
    <t xml:space="preserve">Newmarket</t>
  </si>
  <si>
    <t xml:space="preserve">Kirsten</t>
  </si>
  <si>
    <t xml:space="preserve">Tatyana Bakalchuk</t>
  </si>
  <si>
    <t xml:space="preserve">Moscow region</t>
  </si>
  <si>
    <t xml:space="preserve">Ecommerce</t>
  </si>
  <si>
    <t xml:space="preserve">Bakalchuk</t>
  </si>
  <si>
    <t xml:space="preserve">Tatyana</t>
  </si>
  <si>
    <t xml:space="preserve">John Doerr</t>
  </si>
  <si>
    <t xml:space="preserve">Venture capital</t>
  </si>
  <si>
    <t xml:space="preserve">Doerr</t>
  </si>
  <si>
    <t xml:space="preserve">Richard Liu</t>
  </si>
  <si>
    <t xml:space="preserve">Richard</t>
  </si>
  <si>
    <t xml:space="preserve">Dustin Moskovitz</t>
  </si>
  <si>
    <t xml:space="preserve">Moskovitz</t>
  </si>
  <si>
    <t xml:space="preserve">Dustin</t>
  </si>
  <si>
    <t xml:space="preserve">Pierre Omidyar</t>
  </si>
  <si>
    <t xml:space="preserve">Honolulu</t>
  </si>
  <si>
    <t xml:space="preserve">EBay, PayPal</t>
  </si>
  <si>
    <t xml:space="preserve">Omidyar</t>
  </si>
  <si>
    <t xml:space="preserve">Pierre</t>
  </si>
  <si>
    <t xml:space="preserve">Pei Zhenhua</t>
  </si>
  <si>
    <t xml:space="preserve">Pei</t>
  </si>
  <si>
    <t xml:space="preserve">Zhenhua</t>
  </si>
  <si>
    <t xml:space="preserve">Carrie Perrodo &amp; family</t>
  </si>
  <si>
    <t xml:space="preserve">Perrodo</t>
  </si>
  <si>
    <t xml:space="preserve">Carrie</t>
  </si>
  <si>
    <t xml:space="preserve">Chen Jianhua</t>
  </si>
  <si>
    <t xml:space="preserve">Wujiang</t>
  </si>
  <si>
    <t xml:space="preserve">Jianhua</t>
  </si>
  <si>
    <t xml:space="preserve">Michael Otto</t>
  </si>
  <si>
    <t xml:space="preserve">Retail, real estate</t>
  </si>
  <si>
    <t xml:space="preserve">Leon Black</t>
  </si>
  <si>
    <t xml:space="preserve">Black</t>
  </si>
  <si>
    <t xml:space="preserve">Leon</t>
  </si>
  <si>
    <t xml:space="preserve">Graeme Hart</t>
  </si>
  <si>
    <t xml:space="preserve">New Zealand</t>
  </si>
  <si>
    <t xml:space="preserve">Auckland</t>
  </si>
  <si>
    <t xml:space="preserve">Hart</t>
  </si>
  <si>
    <t xml:space="preserve">Graeme</t>
  </si>
  <si>
    <t xml:space="preserve">Ravi Jaipuria</t>
  </si>
  <si>
    <t xml:space="preserve">Soft drinks, fast food</t>
  </si>
  <si>
    <t xml:space="preserve">Jaipuria</t>
  </si>
  <si>
    <t xml:space="preserve">Ravi</t>
  </si>
  <si>
    <t xml:space="preserve">Hasso Plattner &amp; family</t>
  </si>
  <si>
    <t xml:space="preserve">Heidelberg</t>
  </si>
  <si>
    <t xml:space="preserve">Plattner</t>
  </si>
  <si>
    <t xml:space="preserve">Hasso</t>
  </si>
  <si>
    <t xml:space="preserve">Carlos Alberto Sicupira &amp; family</t>
  </si>
  <si>
    <t xml:space="preserve">St. Gallen</t>
  </si>
  <si>
    <t xml:space="preserve">Sicupira</t>
  </si>
  <si>
    <t xml:space="preserve">Carlos Alberto</t>
  </si>
  <si>
    <t xml:space="preserve">Manuel Villar</t>
  </si>
  <si>
    <t xml:space="preserve">Philippines</t>
  </si>
  <si>
    <t xml:space="preserve">Manila</t>
  </si>
  <si>
    <t xml:space="preserve">Villar</t>
  </si>
  <si>
    <t xml:space="preserve">Manuel</t>
  </si>
  <si>
    <t xml:space="preserve">Andreas von Bechtolsheim &amp; family</t>
  </si>
  <si>
    <t xml:space="preserve">von Bechtolsheim</t>
  </si>
  <si>
    <t xml:space="preserve">Chase Coleman, III.</t>
  </si>
  <si>
    <t xml:space="preserve">Coleman</t>
  </si>
  <si>
    <t xml:space="preserve">Chase</t>
  </si>
  <si>
    <t xml:space="preserve">Ann Walton Kroenke</t>
  </si>
  <si>
    <t xml:space="preserve">Ann Walton</t>
  </si>
  <si>
    <t xml:space="preserve">Li Zhenguo &amp; family</t>
  </si>
  <si>
    <t xml:space="preserve">Xi'an</t>
  </si>
  <si>
    <t xml:space="preserve">Solar wafers and modules</t>
  </si>
  <si>
    <t xml:space="preserve">Zhenguo</t>
  </si>
  <si>
    <t xml:space="preserve">Jim Kennedy</t>
  </si>
  <si>
    <t xml:space="preserve">Atlanta</t>
  </si>
  <si>
    <t xml:space="preserve">Media, automotive</t>
  </si>
  <si>
    <t xml:space="preserve">Kennedy</t>
  </si>
  <si>
    <t xml:space="preserve">Nicky Oppenheimer &amp; family</t>
  </si>
  <si>
    <t xml:space="preserve">Johannesburg</t>
  </si>
  <si>
    <t xml:space="preserve">Diamonds</t>
  </si>
  <si>
    <t xml:space="preserve">Oppenheimer</t>
  </si>
  <si>
    <t xml:space="preserve">Nicky</t>
  </si>
  <si>
    <t xml:space="preserve">Blair Parry-Okeden</t>
  </si>
  <si>
    <t xml:space="preserve">New South Wales</t>
  </si>
  <si>
    <t xml:space="preserve">Parry-Okeden</t>
  </si>
  <si>
    <t xml:space="preserve">Blair</t>
  </si>
  <si>
    <t xml:space="preserve">Zheng Shuliang &amp; family</t>
  </si>
  <si>
    <t xml:space="preserve">Binzhou</t>
  </si>
  <si>
    <t xml:space="preserve">Aluminum products</t>
  </si>
  <si>
    <t xml:space="preserve">Zheng</t>
  </si>
  <si>
    <t xml:space="preserve">Shuliang</t>
  </si>
  <si>
    <t xml:space="preserve">John Morris</t>
  </si>
  <si>
    <t xml:space="preserve">Springfield</t>
  </si>
  <si>
    <t xml:space="preserve">Sporting goods retail</t>
  </si>
  <si>
    <t xml:space="preserve">Morris</t>
  </si>
  <si>
    <t xml:space="preserve">German Khan</t>
  </si>
  <si>
    <t xml:space="preserve">German</t>
  </si>
  <si>
    <t xml:space="preserve">Abdulsamad Rabiu</t>
  </si>
  <si>
    <t xml:space="preserve">Rabiu</t>
  </si>
  <si>
    <t xml:space="preserve">Abdulsamad</t>
  </si>
  <si>
    <t xml:space="preserve">George Roberts</t>
  </si>
  <si>
    <t xml:space="preserve">Roberts</t>
  </si>
  <si>
    <t xml:space="preserve">Kushal Pal Singh</t>
  </si>
  <si>
    <t xml:space="preserve">Singh</t>
  </si>
  <si>
    <t xml:space="preserve">Kushal Pal</t>
  </si>
  <si>
    <t xml:space="preserve">Wang Jianlin</t>
  </si>
  <si>
    <t xml:space="preserve">Jianlin</t>
  </si>
  <si>
    <t xml:space="preserve">Yang Huiyan &amp; family</t>
  </si>
  <si>
    <t xml:space="preserve">Yang</t>
  </si>
  <si>
    <t xml:space="preserve">Huiyan</t>
  </si>
  <si>
    <t xml:space="preserve">Laurent Dassault</t>
  </si>
  <si>
    <t xml:space="preserve">Dassault</t>
  </si>
  <si>
    <t xml:space="preserve">Laurent</t>
  </si>
  <si>
    <t xml:space="preserve">Thierry Dassault</t>
  </si>
  <si>
    <t xml:space="preserve">Thierry</t>
  </si>
  <si>
    <t xml:space="preserve">Tilman Fertitta</t>
  </si>
  <si>
    <t xml:space="preserve">Houston Rockets, entertainment</t>
  </si>
  <si>
    <t xml:space="preserve">Fertitta</t>
  </si>
  <si>
    <t xml:space="preserve">Tilman</t>
  </si>
  <si>
    <t xml:space="preserve">Marie-Hélène Habert-Dassault</t>
  </si>
  <si>
    <t xml:space="preserve">Habert-Dassault</t>
  </si>
  <si>
    <t xml:space="preserve">Marie-Hélène</t>
  </si>
  <si>
    <t xml:space="preserve">Karel Komarek</t>
  </si>
  <si>
    <t xml:space="preserve">Verbier</t>
  </si>
  <si>
    <t xml:space="preserve">Oil and gas, IT, lotteries</t>
  </si>
  <si>
    <t xml:space="preserve">Komarek</t>
  </si>
  <si>
    <t xml:space="preserve">Karel</t>
  </si>
  <si>
    <t xml:space="preserve">Nathan Blecharczyk</t>
  </si>
  <si>
    <t xml:space="preserve">Blecharczyk</t>
  </si>
  <si>
    <t xml:space="preserve">Nathan</t>
  </si>
  <si>
    <t xml:space="preserve">Leonid Fedun</t>
  </si>
  <si>
    <t xml:space="preserve">Fedun</t>
  </si>
  <si>
    <t xml:space="preserve">Bernard Marcus</t>
  </si>
  <si>
    <t xml:space="preserve">Home Depot</t>
  </si>
  <si>
    <t xml:space="preserve">Marcus</t>
  </si>
  <si>
    <t xml:space="preserve">Patrick Ryan</t>
  </si>
  <si>
    <t xml:space="preserve">Winnetka</t>
  </si>
  <si>
    <t xml:space="preserve">Insurance</t>
  </si>
  <si>
    <t xml:space="preserve">Ryan</t>
  </si>
  <si>
    <t xml:space="preserve">Patrick</t>
  </si>
  <si>
    <t xml:space="preserve">Robert F. Smith</t>
  </si>
  <si>
    <t xml:space="preserve">Smith</t>
  </si>
  <si>
    <t xml:space="preserve">Robert F.</t>
  </si>
  <si>
    <t xml:space="preserve">Pavel Tykac</t>
  </si>
  <si>
    <t xml:space="preserve">Coal mines</t>
  </si>
  <si>
    <t xml:space="preserve">Tykac</t>
  </si>
  <si>
    <t xml:space="preserve">Orlando Bravo</t>
  </si>
  <si>
    <t xml:space="preserve">Miami Beach</t>
  </si>
  <si>
    <t xml:space="preserve">Bravo</t>
  </si>
  <si>
    <t xml:space="preserve">Orlando</t>
  </si>
  <si>
    <t xml:space="preserve">Ding Shizhong</t>
  </si>
  <si>
    <t xml:space="preserve">Quanzhou</t>
  </si>
  <si>
    <t xml:space="preserve">Sports apparel</t>
  </si>
  <si>
    <t xml:space="preserve">Shizhong</t>
  </si>
  <si>
    <t xml:space="preserve">Nancy Walton Laurie</t>
  </si>
  <si>
    <t xml:space="preserve">Henderson</t>
  </si>
  <si>
    <t xml:space="preserve">Laurie</t>
  </si>
  <si>
    <t xml:space="preserve">Nancy Walton</t>
  </si>
  <si>
    <t xml:space="preserve">Jay Y. Lee</t>
  </si>
  <si>
    <t xml:space="preserve">Samsung</t>
  </si>
  <si>
    <t xml:space="preserve">Lee</t>
  </si>
  <si>
    <t xml:space="preserve">Jay Y.</t>
  </si>
  <si>
    <t xml:space="preserve">Ramzi Musallam</t>
  </si>
  <si>
    <t xml:space="preserve">Musallam</t>
  </si>
  <si>
    <t xml:space="preserve">Ramzi</t>
  </si>
  <si>
    <t xml:space="preserve">David Shaw</t>
  </si>
  <si>
    <t xml:space="preserve">Shaw</t>
  </si>
  <si>
    <t xml:space="preserve">Andrei Skoch &amp; family</t>
  </si>
  <si>
    <t xml:space="preserve">Metals and mining</t>
  </si>
  <si>
    <t xml:space="preserve">Skoch &amp; family</t>
  </si>
  <si>
    <t xml:space="preserve">Georg Stumpf</t>
  </si>
  <si>
    <t xml:space="preserve">Vienna</t>
  </si>
  <si>
    <t xml:space="preserve">Real estate, construction</t>
  </si>
  <si>
    <t xml:space="preserve">Stumpf</t>
  </si>
  <si>
    <t xml:space="preserve">Rocco Commisso</t>
  </si>
  <si>
    <t xml:space="preserve">Saddle River</t>
  </si>
  <si>
    <t xml:space="preserve">Commisso</t>
  </si>
  <si>
    <t xml:space="preserve">Rocco</t>
  </si>
  <si>
    <t xml:space="preserve">Li Shuirong &amp; family</t>
  </si>
  <si>
    <t xml:space="preserve">Petrochemicals</t>
  </si>
  <si>
    <t xml:space="preserve">Shuirong</t>
  </si>
  <si>
    <t xml:space="preserve">Qi Shi &amp; family</t>
  </si>
  <si>
    <t xml:space="preserve">Financial information</t>
  </si>
  <si>
    <t xml:space="preserve">Qi</t>
  </si>
  <si>
    <t xml:space="preserve">Shi</t>
  </si>
  <si>
    <t xml:space="preserve">Yao Liangsong</t>
  </si>
  <si>
    <t xml:space="preserve">Furniture</t>
  </si>
  <si>
    <t xml:space="preserve">Yao</t>
  </si>
  <si>
    <t xml:space="preserve">Liangsong</t>
  </si>
  <si>
    <t xml:space="preserve">Jean-Michel Besnier</t>
  </si>
  <si>
    <t xml:space="preserve">Jean-Michel</t>
  </si>
  <si>
    <t xml:space="preserve">Marie Besnier Beauvalot</t>
  </si>
  <si>
    <t xml:space="preserve">Besnier Beauvalot</t>
  </si>
  <si>
    <t xml:space="preserve">Marie</t>
  </si>
  <si>
    <t xml:space="preserve">David Geffen</t>
  </si>
  <si>
    <t xml:space="preserve">Movies, record labels</t>
  </si>
  <si>
    <t xml:space="preserve">Geffen</t>
  </si>
  <si>
    <t xml:space="preserve">Robin Li</t>
  </si>
  <si>
    <t xml:space="preserve">Internet search</t>
  </si>
  <si>
    <t xml:space="preserve">Liu Yonghao &amp; family</t>
  </si>
  <si>
    <t xml:space="preserve">Yonghao</t>
  </si>
  <si>
    <t xml:space="preserve">Henry Samueli</t>
  </si>
  <si>
    <t xml:space="preserve">Samueli</t>
  </si>
  <si>
    <t xml:space="preserve">Henry</t>
  </si>
  <si>
    <t xml:space="preserve">Reinhold Schmieding</t>
  </si>
  <si>
    <t xml:space="preserve">Schmieding</t>
  </si>
  <si>
    <t xml:space="preserve">Ivar Tollefsen</t>
  </si>
  <si>
    <t xml:space="preserve">Norway</t>
  </si>
  <si>
    <t xml:space="preserve">Oslo</t>
  </si>
  <si>
    <t xml:space="preserve">Tollefsen</t>
  </si>
  <si>
    <t xml:space="preserve">Ivar</t>
  </si>
  <si>
    <t xml:space="preserve">Cao Renxian</t>
  </si>
  <si>
    <t xml:space="preserve">Hefei</t>
  </si>
  <si>
    <t xml:space="preserve">Photovoltaic equipment</t>
  </si>
  <si>
    <t xml:space="preserve">Cao</t>
  </si>
  <si>
    <t xml:space="preserve">Renxian</t>
  </si>
  <si>
    <t xml:space="preserve">Hasmukh Chudgar &amp; family</t>
  </si>
  <si>
    <t xml:space="preserve">Chudgar</t>
  </si>
  <si>
    <t xml:space="preserve">Hasmukh</t>
  </si>
  <si>
    <t xml:space="preserve">Andrew Currie</t>
  </si>
  <si>
    <t xml:space="preserve">Currie</t>
  </si>
  <si>
    <t xml:space="preserve">Joe Gebbia</t>
  </si>
  <si>
    <t xml:space="preserve">Gebbia</t>
  </si>
  <si>
    <t xml:space="preserve">Joe</t>
  </si>
  <si>
    <t xml:space="preserve">Philip Ng</t>
  </si>
  <si>
    <t xml:space="preserve">Ng</t>
  </si>
  <si>
    <t xml:space="preserve">John Reece</t>
  </si>
  <si>
    <t xml:space="preserve">Reece</t>
  </si>
  <si>
    <t xml:space="preserve">Leonard Stern</t>
  </si>
  <si>
    <t xml:space="preserve">Stern</t>
  </si>
  <si>
    <t xml:space="preserve">Zhong Huijuan</t>
  </si>
  <si>
    <t xml:space="preserve">Huijuan</t>
  </si>
  <si>
    <t xml:space="preserve">Arthur Blank</t>
  </si>
  <si>
    <t xml:space="preserve">Blank</t>
  </si>
  <si>
    <t xml:space="preserve">Arthur</t>
  </si>
  <si>
    <t xml:space="preserve">Charles Butt</t>
  </si>
  <si>
    <t xml:space="preserve">San Antonio</t>
  </si>
  <si>
    <t xml:space="preserve">Supermarkets</t>
  </si>
  <si>
    <t xml:space="preserve">Butt</t>
  </si>
  <si>
    <t xml:space="preserve">Ding Shijia</t>
  </si>
  <si>
    <t xml:space="preserve">Shijia</t>
  </si>
  <si>
    <t xml:space="preserve">Paul Tudor Jones, II.</t>
  </si>
  <si>
    <t xml:space="preserve">Paul Tudor</t>
  </si>
  <si>
    <t xml:space="preserve">Henry Kravis</t>
  </si>
  <si>
    <t xml:space="preserve">Kravis</t>
  </si>
  <si>
    <t xml:space="preserve">Zhang Yong</t>
  </si>
  <si>
    <t xml:space="preserve">Restaurants</t>
  </si>
  <si>
    <t xml:space="preserve">Yong</t>
  </si>
  <si>
    <t xml:space="preserve">James Goodnight</t>
  </si>
  <si>
    <t xml:space="preserve">Cary</t>
  </si>
  <si>
    <t xml:space="preserve">Goodnight</t>
  </si>
  <si>
    <t xml:space="preserve">Sri Prakash Lohia</t>
  </si>
  <si>
    <t xml:space="preserve">Lohia</t>
  </si>
  <si>
    <t xml:space="preserve">Sri Prakash</t>
  </si>
  <si>
    <t xml:space="preserve">Ma Jianrong</t>
  </si>
  <si>
    <t xml:space="preserve">Textiles, apparel</t>
  </si>
  <si>
    <t xml:space="preserve">Jianrong</t>
  </si>
  <si>
    <t xml:space="preserve">Robert Ng</t>
  </si>
  <si>
    <t xml:space="preserve">Steven Rales</t>
  </si>
  <si>
    <t xml:space="preserve">Santa Barbara</t>
  </si>
  <si>
    <t xml:space="preserve">Manufacturing, investments</t>
  </si>
  <si>
    <t xml:space="preserve">Rales</t>
  </si>
  <si>
    <t xml:space="preserve">Steven</t>
  </si>
  <si>
    <t xml:space="preserve">Nassef Sawiris</t>
  </si>
  <si>
    <t xml:space="preserve">Egypt</t>
  </si>
  <si>
    <t xml:space="preserve">Cairo</t>
  </si>
  <si>
    <t xml:space="preserve">Construction, investments</t>
  </si>
  <si>
    <t xml:space="preserve">Sawiris</t>
  </si>
  <si>
    <t xml:space="preserve">Nassef</t>
  </si>
  <si>
    <t xml:space="preserve">Harry Stine</t>
  </si>
  <si>
    <t xml:space="preserve">Adel</t>
  </si>
  <si>
    <t xml:space="preserve">Agriculture</t>
  </si>
  <si>
    <t xml:space="preserve">Stine</t>
  </si>
  <si>
    <t xml:space="preserve">Benu Gopal Bangur</t>
  </si>
  <si>
    <t xml:space="preserve">Kolkata</t>
  </si>
  <si>
    <t xml:space="preserve">Cement</t>
  </si>
  <si>
    <t xml:space="preserve">Bangur</t>
  </si>
  <si>
    <t xml:space="preserve">Benu Gopal</t>
  </si>
  <si>
    <t xml:space="preserve">Iskander Makhmudov</t>
  </si>
  <si>
    <t xml:space="preserve">Mining, metals, machinery</t>
  </si>
  <si>
    <t xml:space="preserve">Makhmudov</t>
  </si>
  <si>
    <t xml:space="preserve">Iskander</t>
  </si>
  <si>
    <t xml:space="preserve">Anders Holch Povlsen</t>
  </si>
  <si>
    <t xml:space="preserve">Denmark</t>
  </si>
  <si>
    <t xml:space="preserve">Aarhus</t>
  </si>
  <si>
    <t xml:space="preserve">Povlsen</t>
  </si>
  <si>
    <t xml:space="preserve">Anders Holch</t>
  </si>
  <si>
    <t xml:space="preserve">Enrique Razon Jr.</t>
  </si>
  <si>
    <t xml:space="preserve">Ports</t>
  </si>
  <si>
    <t xml:space="preserve">Razon Jr.</t>
  </si>
  <si>
    <t xml:space="preserve">Enrique</t>
  </si>
  <si>
    <t xml:space="preserve">Wang Laichun</t>
  </si>
  <si>
    <t xml:space="preserve">Electronics components</t>
  </si>
  <si>
    <t xml:space="preserve">Laichun</t>
  </si>
  <si>
    <t xml:space="preserve">Arthur Dantchik</t>
  </si>
  <si>
    <t xml:space="preserve">Gladwyne</t>
  </si>
  <si>
    <t xml:space="preserve">Dantchik</t>
  </si>
  <si>
    <t xml:space="preserve">Jeff Greene</t>
  </si>
  <si>
    <t xml:space="preserve">Real estate, investments</t>
  </si>
  <si>
    <t xml:space="preserve">Greene</t>
  </si>
  <si>
    <t xml:space="preserve">Don Hankey</t>
  </si>
  <si>
    <t xml:space="preserve">Malibu</t>
  </si>
  <si>
    <t xml:space="preserve">Auto loans</t>
  </si>
  <si>
    <t xml:space="preserve">Hankey</t>
  </si>
  <si>
    <t xml:space="preserve">Don</t>
  </si>
  <si>
    <t xml:space="preserve">Richard Kinder</t>
  </si>
  <si>
    <t xml:space="preserve">Pipelines</t>
  </si>
  <si>
    <t xml:space="preserve">Kinder</t>
  </si>
  <si>
    <t xml:space="preserve">Guillaume Pousaz</t>
  </si>
  <si>
    <t xml:space="preserve">Fintech</t>
  </si>
  <si>
    <t xml:space="preserve">Pousaz</t>
  </si>
  <si>
    <t xml:space="preserve">Guillaume</t>
  </si>
  <si>
    <t xml:space="preserve">Takahisa Takahara</t>
  </si>
  <si>
    <t xml:space="preserve">Personal care goods</t>
  </si>
  <si>
    <t xml:space="preserve">Takahara</t>
  </si>
  <si>
    <t xml:space="preserve">Takahisa</t>
  </si>
  <si>
    <t xml:space="preserve">Zong Qinghou</t>
  </si>
  <si>
    <t xml:space="preserve">Beverages</t>
  </si>
  <si>
    <t xml:space="preserve">Zong</t>
  </si>
  <si>
    <t xml:space="preserve">Qinghou</t>
  </si>
  <si>
    <t xml:space="preserve">Judy Faulkner</t>
  </si>
  <si>
    <t xml:space="preserve">Madison</t>
  </si>
  <si>
    <t xml:space="preserve">Healthcare software</t>
  </si>
  <si>
    <t xml:space="preserve">Faulkner</t>
  </si>
  <si>
    <t xml:space="preserve">Johann Graf</t>
  </si>
  <si>
    <t xml:space="preserve">Gambling</t>
  </si>
  <si>
    <t xml:space="preserve">Graf</t>
  </si>
  <si>
    <t xml:space="preserve">Tamara Gustavson</t>
  </si>
  <si>
    <t xml:space="preserve">Lexington</t>
  </si>
  <si>
    <t xml:space="preserve">Self storage</t>
  </si>
  <si>
    <t xml:space="preserve">Gustavson</t>
  </si>
  <si>
    <t xml:space="preserve">Tamara</t>
  </si>
  <si>
    <t xml:space="preserve">Liang Wengen</t>
  </si>
  <si>
    <t xml:space="preserve">Construction equipment</t>
  </si>
  <si>
    <t xml:space="preserve">Liang</t>
  </si>
  <si>
    <t xml:space="preserve">Wengen</t>
  </si>
  <si>
    <t xml:space="preserve">Frederik Paulsen</t>
  </si>
  <si>
    <t xml:space="preserve">Lausanne</t>
  </si>
  <si>
    <t xml:space="preserve">Health care</t>
  </si>
  <si>
    <t xml:space="preserve">Paulsen</t>
  </si>
  <si>
    <t xml:space="preserve">Frederik</t>
  </si>
  <si>
    <t xml:space="preserve">Wee Cho Yaw</t>
  </si>
  <si>
    <t xml:space="preserve">Wee</t>
  </si>
  <si>
    <t xml:space="preserve">Cho Yaw</t>
  </si>
  <si>
    <t xml:space="preserve">Zhang Hejun</t>
  </si>
  <si>
    <t xml:space="preserve">Electronics</t>
  </si>
  <si>
    <t xml:space="preserve">Hejun</t>
  </si>
  <si>
    <t xml:space="preserve">Marc Benioff</t>
  </si>
  <si>
    <t xml:space="preserve">Benioff</t>
  </si>
  <si>
    <t xml:space="preserve">Marc</t>
  </si>
  <si>
    <t xml:space="preserve">Dmitri Bukhman</t>
  </si>
  <si>
    <t xml:space="preserve">Bukhman</t>
  </si>
  <si>
    <t xml:space="preserve">Dmitri</t>
  </si>
  <si>
    <t xml:space="preserve">Igor Bukhman</t>
  </si>
  <si>
    <t xml:space="preserve">Igor</t>
  </si>
  <si>
    <t xml:space="preserve">Jack Dangermond</t>
  </si>
  <si>
    <t xml:space="preserve">Redlands</t>
  </si>
  <si>
    <t xml:space="preserve">Mapping software</t>
  </si>
  <si>
    <t xml:space="preserve">Dangermond</t>
  </si>
  <si>
    <t xml:space="preserve">Ashwin Dani &amp; family</t>
  </si>
  <si>
    <t xml:space="preserve">Dani</t>
  </si>
  <si>
    <t xml:space="preserve">Ashwin</t>
  </si>
  <si>
    <t xml:space="preserve">Ralph Lauren</t>
  </si>
  <si>
    <t xml:space="preserve">Apparel</t>
  </si>
  <si>
    <t xml:space="preserve">Lauren</t>
  </si>
  <si>
    <t xml:space="preserve">Ralph</t>
  </si>
  <si>
    <t xml:space="preserve">Rohiqa Cyrus Mistry</t>
  </si>
  <si>
    <t xml:space="preserve">Mistry</t>
  </si>
  <si>
    <t xml:space="preserve">Rohiqa Cyrus</t>
  </si>
  <si>
    <t xml:space="preserve">Shapoor Mistry</t>
  </si>
  <si>
    <t xml:space="preserve">Shapoor</t>
  </si>
  <si>
    <t xml:space="preserve">J. Christopher Reyes</t>
  </si>
  <si>
    <t xml:space="preserve">Hobe Sound</t>
  </si>
  <si>
    <t xml:space="preserve">Food distribution</t>
  </si>
  <si>
    <t xml:space="preserve">Reyes</t>
  </si>
  <si>
    <t xml:space="preserve">J. Christopher</t>
  </si>
  <si>
    <t xml:space="preserve">Jude Reyes</t>
  </si>
  <si>
    <t xml:space="preserve">Jude</t>
  </si>
  <si>
    <t xml:space="preserve">Don Vultaggio &amp; family</t>
  </si>
  <si>
    <t xml:space="preserve">Port Washington</t>
  </si>
  <si>
    <t xml:space="preserve">Vultaggio</t>
  </si>
  <si>
    <t xml:space="preserve">Edythe Broad &amp; family</t>
  </si>
  <si>
    <t xml:space="preserve">Homebuilding, insurance</t>
  </si>
  <si>
    <t xml:space="preserve">Broad</t>
  </si>
  <si>
    <t xml:space="preserve">Edythe</t>
  </si>
  <si>
    <t xml:space="preserve">Pauline MacMillan Keinath</t>
  </si>
  <si>
    <t xml:space="preserve">St. Louis</t>
  </si>
  <si>
    <t xml:space="preserve">Cargill</t>
  </si>
  <si>
    <t xml:space="preserve">Keinath</t>
  </si>
  <si>
    <t xml:space="preserve">Pauline MacMillan</t>
  </si>
  <si>
    <t xml:space="preserve">Philippe Laffont</t>
  </si>
  <si>
    <t xml:space="preserve">Hedge fund</t>
  </si>
  <si>
    <t xml:space="preserve">Laffont</t>
  </si>
  <si>
    <t xml:space="preserve">Philippe</t>
  </si>
  <si>
    <t xml:space="preserve">Liu Jincheng &amp; family</t>
  </si>
  <si>
    <t xml:space="preserve">Huizhou</t>
  </si>
  <si>
    <t xml:space="preserve">Lithium batteries</t>
  </si>
  <si>
    <t xml:space="preserve">Jincheng</t>
  </si>
  <si>
    <t xml:space="preserve">Igor Olenicoff</t>
  </si>
  <si>
    <t xml:space="preserve">Lighthouse Point</t>
  </si>
  <si>
    <t xml:space="preserve">Olenicoff</t>
  </si>
  <si>
    <t xml:space="preserve">Sandra Ortega Mera</t>
  </si>
  <si>
    <t xml:space="preserve">Ortega Mera</t>
  </si>
  <si>
    <t xml:space="preserve">Sandra</t>
  </si>
  <si>
    <t xml:space="preserve">Ronda Stryker</t>
  </si>
  <si>
    <t xml:space="preserve">Portage</t>
  </si>
  <si>
    <t xml:space="preserve">Medical equipment</t>
  </si>
  <si>
    <t xml:space="preserve">Stryker</t>
  </si>
  <si>
    <t xml:space="preserve">Ronda</t>
  </si>
  <si>
    <t xml:space="preserve">Dannine Avara</t>
  </si>
  <si>
    <t xml:space="preserve">Avara</t>
  </si>
  <si>
    <t xml:space="preserve">Dannine</t>
  </si>
  <si>
    <t xml:space="preserve">Silvio Berlusconi &amp; family</t>
  </si>
  <si>
    <t xml:space="preserve">Berlusconi</t>
  </si>
  <si>
    <t xml:space="preserve">Silvio</t>
  </si>
  <si>
    <t xml:space="preserve">Denise Coates</t>
  </si>
  <si>
    <t xml:space="preserve">Stoke-on-Trent</t>
  </si>
  <si>
    <t xml:space="preserve">Online gambling</t>
  </si>
  <si>
    <t xml:space="preserve">Coates</t>
  </si>
  <si>
    <t xml:space="preserve">Denise</t>
  </si>
  <si>
    <t xml:space="preserve">Scott Duncan</t>
  </si>
  <si>
    <t xml:space="preserve">Duncan</t>
  </si>
  <si>
    <t xml:space="preserve">Milane Frantz</t>
  </si>
  <si>
    <t xml:space="preserve">Frantz</t>
  </si>
  <si>
    <t xml:space="preserve">Milane</t>
  </si>
  <si>
    <t xml:space="preserve">Edward Johnson, IV.</t>
  </si>
  <si>
    <t xml:space="preserve">Boston</t>
  </si>
  <si>
    <t xml:space="preserve">Edward</t>
  </si>
  <si>
    <t xml:space="preserve">Yuri Milner</t>
  </si>
  <si>
    <t xml:space="preserve">Tech investments</t>
  </si>
  <si>
    <t xml:space="preserve">Milner</t>
  </si>
  <si>
    <t xml:space="preserve">Yuri</t>
  </si>
  <si>
    <t xml:space="preserve">Gordon Moore</t>
  </si>
  <si>
    <t xml:space="preserve">Intel</t>
  </si>
  <si>
    <t xml:space="preserve">Moore</t>
  </si>
  <si>
    <t xml:space="preserve">Gordon</t>
  </si>
  <si>
    <t xml:space="preserve">John Overdeck</t>
  </si>
  <si>
    <t xml:space="preserve">Millburn</t>
  </si>
  <si>
    <t xml:space="preserve">Overdeck</t>
  </si>
  <si>
    <t xml:space="preserve">David Siegel</t>
  </si>
  <si>
    <t xml:space="preserve">Scarsdale</t>
  </si>
  <si>
    <t xml:space="preserve">Siegel</t>
  </si>
  <si>
    <t xml:space="preserve">Viktor Vekselberg</t>
  </si>
  <si>
    <t xml:space="preserve">Metals, investments</t>
  </si>
  <si>
    <t xml:space="preserve">Vekselberg</t>
  </si>
  <si>
    <t xml:space="preserve">Wang Laisheng</t>
  </si>
  <si>
    <t xml:space="preserve">Laisheng</t>
  </si>
  <si>
    <t xml:space="preserve">Randa Duncan Williams</t>
  </si>
  <si>
    <t xml:space="preserve">Williams</t>
  </si>
  <si>
    <t xml:space="preserve">Randa Duncan</t>
  </si>
  <si>
    <t xml:space="preserve">Ken Fisher</t>
  </si>
  <si>
    <t xml:space="preserve">Money management</t>
  </si>
  <si>
    <t xml:space="preserve">Fisher</t>
  </si>
  <si>
    <t xml:space="preserve">Christopher Hohn</t>
  </si>
  <si>
    <t xml:space="preserve">Hohn</t>
  </si>
  <si>
    <t xml:space="preserve">Christopher</t>
  </si>
  <si>
    <t xml:space="preserve">Kjeld Kirk Kristiansen</t>
  </si>
  <si>
    <t xml:space="preserve">Billund</t>
  </si>
  <si>
    <t xml:space="preserve">Lego</t>
  </si>
  <si>
    <t xml:space="preserve">Kristiansen</t>
  </si>
  <si>
    <t xml:space="preserve">Kjeld Kirk</t>
  </si>
  <si>
    <t xml:space="preserve">Sofie Kirk Kristiansen</t>
  </si>
  <si>
    <t xml:space="preserve">Sofie Kirk</t>
  </si>
  <si>
    <t xml:space="preserve">Thomas Kirk Kristiansen</t>
  </si>
  <si>
    <t xml:space="preserve">Thomas Kirk</t>
  </si>
  <si>
    <t xml:space="preserve">Massimiliana Landini Aleotti &amp; family</t>
  </si>
  <si>
    <t xml:space="preserve">Fiesole</t>
  </si>
  <si>
    <t xml:space="preserve">Landini Aleotti</t>
  </si>
  <si>
    <t xml:space="preserve">Massimiliana</t>
  </si>
  <si>
    <t xml:space="preserve">Li Ping</t>
  </si>
  <si>
    <t xml:space="preserve">Ping</t>
  </si>
  <si>
    <t xml:space="preserve">Lin Jianhua</t>
  </si>
  <si>
    <t xml:space="preserve">Solar panel components</t>
  </si>
  <si>
    <t xml:space="preserve">Lin</t>
  </si>
  <si>
    <t xml:space="preserve">Magdalena Martullo-Blocher</t>
  </si>
  <si>
    <t xml:space="preserve">Feldmeilen</t>
  </si>
  <si>
    <t xml:space="preserve">Martullo-Blocher</t>
  </si>
  <si>
    <t xml:space="preserve">Magdalena</t>
  </si>
  <si>
    <t xml:space="preserve">Xavier Niel</t>
  </si>
  <si>
    <t xml:space="preserve">Niel</t>
  </si>
  <si>
    <t xml:space="preserve">Xavier</t>
  </si>
  <si>
    <t xml:space="preserve">Terrence Pegula</t>
  </si>
  <si>
    <t xml:space="preserve">Boca Raton</t>
  </si>
  <si>
    <t xml:space="preserve">Natural gas</t>
  </si>
  <si>
    <t xml:space="preserve">Pegula</t>
  </si>
  <si>
    <t xml:space="preserve">Terrence</t>
  </si>
  <si>
    <t xml:space="preserve">Edward Roski, Jr.</t>
  </si>
  <si>
    <t xml:space="preserve">Roski</t>
  </si>
  <si>
    <t xml:space="preserve">John A. Sobrato &amp; family</t>
  </si>
  <si>
    <t xml:space="preserve">Sobrato</t>
  </si>
  <si>
    <t xml:space="preserve">John A.</t>
  </si>
  <si>
    <t xml:space="preserve">George Soros</t>
  </si>
  <si>
    <t xml:space="preserve">Katonah</t>
  </si>
  <si>
    <t xml:space="preserve">Soros</t>
  </si>
  <si>
    <t xml:space="preserve">David Sun</t>
  </si>
  <si>
    <t xml:space="preserve">Irvine</t>
  </si>
  <si>
    <t xml:space="preserve">Computer hardware</t>
  </si>
  <si>
    <t xml:space="preserve">Agnete Kirk Thinggaard</t>
  </si>
  <si>
    <t xml:space="preserve">Thinggaard</t>
  </si>
  <si>
    <t xml:space="preserve">Agnete Kirk</t>
  </si>
  <si>
    <t xml:space="preserve">John Tu</t>
  </si>
  <si>
    <t xml:space="preserve">Rolling Hills</t>
  </si>
  <si>
    <t xml:space="preserve">Tu</t>
  </si>
  <si>
    <t xml:space="preserve">Xu Shihui</t>
  </si>
  <si>
    <t xml:space="preserve">Snacks, beverages</t>
  </si>
  <si>
    <t xml:space="preserve">Shihui</t>
  </si>
  <si>
    <t xml:space="preserve">Rahel Blocher</t>
  </si>
  <si>
    <t xml:space="preserve">Wilen bei Wollerau</t>
  </si>
  <si>
    <t xml:space="preserve">Blocher</t>
  </si>
  <si>
    <t xml:space="preserve">Rahel</t>
  </si>
  <si>
    <t xml:space="preserve">Bubba Cathy</t>
  </si>
  <si>
    <t xml:space="preserve">Chick-fil-A</t>
  </si>
  <si>
    <t xml:space="preserve">Cathy</t>
  </si>
  <si>
    <t xml:space="preserve">Bubba</t>
  </si>
  <si>
    <t xml:space="preserve">Dan Cathy</t>
  </si>
  <si>
    <t xml:space="preserve">Dan</t>
  </si>
  <si>
    <t xml:space="preserve">Trudy Cathy White</t>
  </si>
  <si>
    <t xml:space="preserve">Hampton</t>
  </si>
  <si>
    <t xml:space="preserve">Cathy White</t>
  </si>
  <si>
    <t xml:space="preserve">Trudy</t>
  </si>
  <si>
    <t xml:space="preserve">Bruce Kovner</t>
  </si>
  <si>
    <t xml:space="preserve">Kovner</t>
  </si>
  <si>
    <t xml:space="preserve">Bruce</t>
  </si>
  <si>
    <t xml:space="preserve">Henry Nicholas, III.</t>
  </si>
  <si>
    <t xml:space="preserve">Newport Coast</t>
  </si>
  <si>
    <t xml:space="preserve">Nicholas</t>
  </si>
  <si>
    <t xml:space="preserve">Nadia Thiele</t>
  </si>
  <si>
    <t xml:space="preserve">Munich</t>
  </si>
  <si>
    <t xml:space="preserve">Thiele</t>
  </si>
  <si>
    <t xml:space="preserve">Nadia</t>
  </si>
  <si>
    <t xml:space="preserve">David Bonderman</t>
  </si>
  <si>
    <t xml:space="preserve">Bonderman</t>
  </si>
  <si>
    <t xml:space="preserve">Melinda French Gates</t>
  </si>
  <si>
    <t xml:space="preserve">French Gates</t>
  </si>
  <si>
    <t xml:space="preserve">Melinda</t>
  </si>
  <si>
    <t xml:space="preserve">Annette Lerner &amp; family</t>
  </si>
  <si>
    <t xml:space="preserve">Chevy Chase</t>
  </si>
  <si>
    <t xml:space="preserve">Lerner</t>
  </si>
  <si>
    <t xml:space="preserve">Annette</t>
  </si>
  <si>
    <t xml:space="preserve">David Reuben</t>
  </si>
  <si>
    <t xml:space="preserve">Investments, real estate</t>
  </si>
  <si>
    <t xml:space="preserve">Reuben</t>
  </si>
  <si>
    <t xml:space="preserve">Radovan Vitek</t>
  </si>
  <si>
    <t xml:space="preserve">Crans Montana</t>
  </si>
  <si>
    <t xml:space="preserve">Vitek</t>
  </si>
  <si>
    <t xml:space="preserve">Radovan</t>
  </si>
  <si>
    <t xml:space="preserve">Carl Bennet</t>
  </si>
  <si>
    <t xml:space="preserve">Gothenberg</t>
  </si>
  <si>
    <t xml:space="preserve">Bennet</t>
  </si>
  <si>
    <t xml:space="preserve">Stephen Bisciotti</t>
  </si>
  <si>
    <t xml:space="preserve">Staffing, Baltimore Ravens</t>
  </si>
  <si>
    <t xml:space="preserve">Bisciotti</t>
  </si>
  <si>
    <t xml:space="preserve">Stanley Druckenmiller</t>
  </si>
  <si>
    <t xml:space="preserve">Druckenmiller</t>
  </si>
  <si>
    <t xml:space="preserve">Jian Jun</t>
  </si>
  <si>
    <t xml:space="preserve">Biomedical products</t>
  </si>
  <si>
    <t xml:space="preserve">Jian</t>
  </si>
  <si>
    <t xml:space="preserve">Alexei Kuzmichev</t>
  </si>
  <si>
    <t xml:space="preserve">Kuzmichev</t>
  </si>
  <si>
    <t xml:space="preserve">Alexei</t>
  </si>
  <si>
    <t xml:space="preserve">Luis Carlos Sarmiento</t>
  </si>
  <si>
    <t xml:space="preserve">Colombia</t>
  </si>
  <si>
    <t xml:space="preserve">Bogota</t>
  </si>
  <si>
    <t xml:space="preserve">Sarmiento</t>
  </si>
  <si>
    <t xml:space="preserve">Luis Carlos</t>
  </si>
  <si>
    <t xml:space="preserve">Dennis Washington</t>
  </si>
  <si>
    <t xml:space="preserve">Missoula</t>
  </si>
  <si>
    <t xml:space="preserve">Construction, mining</t>
  </si>
  <si>
    <t xml:space="preserve">Washington</t>
  </si>
  <si>
    <t xml:space="preserve">Dennis</t>
  </si>
  <si>
    <t xml:space="preserve">Anthony Bamford &amp; family</t>
  </si>
  <si>
    <t xml:space="preserve">Bamford</t>
  </si>
  <si>
    <t xml:space="preserve">Gao Jifan &amp; family</t>
  </si>
  <si>
    <t xml:space="preserve">Solar equipment</t>
  </si>
  <si>
    <t xml:space="preserve">Gao</t>
  </si>
  <si>
    <t xml:space="preserve">Jifan</t>
  </si>
  <si>
    <t xml:space="preserve">John Grayken</t>
  </si>
  <si>
    <t xml:space="preserve">Grayken</t>
  </si>
  <si>
    <t xml:space="preserve">Alain Merieux &amp; family</t>
  </si>
  <si>
    <t xml:space="preserve">Lyon</t>
  </si>
  <si>
    <t xml:space="preserve">Merieux</t>
  </si>
  <si>
    <t xml:space="preserve">Wang Yusuo &amp; family</t>
  </si>
  <si>
    <t xml:space="preserve">Langfang</t>
  </si>
  <si>
    <t xml:space="preserve">Natural gas distribution</t>
  </si>
  <si>
    <t xml:space="preserve">Yusuo</t>
  </si>
  <si>
    <t xml:space="preserve">Stef Wertheimer &amp; family</t>
  </si>
  <si>
    <t xml:space="preserve">Tel Aviv</t>
  </si>
  <si>
    <t xml:space="preserve">Metalworking tools</t>
  </si>
  <si>
    <t xml:space="preserve">Stef</t>
  </si>
  <si>
    <t xml:space="preserve">Maria Asuncion Aramburuzabala &amp; family</t>
  </si>
  <si>
    <t xml:space="preserve">Beer, investments</t>
  </si>
  <si>
    <t xml:space="preserve">Aramburuzabala</t>
  </si>
  <si>
    <t xml:space="preserve">Maria Asuncion</t>
  </si>
  <si>
    <t xml:space="preserve">Gustaf Douglas</t>
  </si>
  <si>
    <t xml:space="preserve">Douglas</t>
  </si>
  <si>
    <t xml:space="preserve">Gustaf</t>
  </si>
  <si>
    <t xml:space="preserve">Frits Goldschmeding</t>
  </si>
  <si>
    <t xml:space="preserve">Netherlands</t>
  </si>
  <si>
    <t xml:space="preserve">Amsterdam</t>
  </si>
  <si>
    <t xml:space="preserve">Temp agency</t>
  </si>
  <si>
    <t xml:space="preserve">Goldschmeding</t>
  </si>
  <si>
    <t xml:space="preserve">Frits</t>
  </si>
  <si>
    <t xml:space="preserve">Lin Muqin &amp; family</t>
  </si>
  <si>
    <t xml:space="preserve">Muqin</t>
  </si>
  <si>
    <t xml:space="preserve">Ruan Liping</t>
  </si>
  <si>
    <t xml:space="preserve">Power strips</t>
  </si>
  <si>
    <t xml:space="preserve">Ruan</t>
  </si>
  <si>
    <t xml:space="preserve">Ruan Xueping</t>
  </si>
  <si>
    <t xml:space="preserve">Power strip</t>
  </si>
  <si>
    <t xml:space="preserve">Xueping</t>
  </si>
  <si>
    <t xml:space="preserve">Michal Solowow</t>
  </si>
  <si>
    <t xml:space="preserve">Poland</t>
  </si>
  <si>
    <t xml:space="preserve">Kielce</t>
  </si>
  <si>
    <t xml:space="preserve">Solowow</t>
  </si>
  <si>
    <t xml:space="preserve">Michal</t>
  </si>
  <si>
    <t xml:space="preserve">Mike Adenuga</t>
  </si>
  <si>
    <t xml:space="preserve">Telecom, oil</t>
  </si>
  <si>
    <t xml:space="preserve">Adenuga</t>
  </si>
  <si>
    <t xml:space="preserve">Tom Gores</t>
  </si>
  <si>
    <t xml:space="preserve">Gores</t>
  </si>
  <si>
    <t xml:space="preserve">Tom</t>
  </si>
  <si>
    <t xml:space="preserve">Michael Herz</t>
  </si>
  <si>
    <t xml:space="preserve">Coffee</t>
  </si>
  <si>
    <t xml:space="preserve">Herz</t>
  </si>
  <si>
    <t xml:space="preserve">Wolfgang Herz</t>
  </si>
  <si>
    <t xml:space="preserve">Wolfgang</t>
  </si>
  <si>
    <t xml:space="preserve">Alexander Abramov</t>
  </si>
  <si>
    <t xml:space="preserve">Steel, mining</t>
  </si>
  <si>
    <t xml:space="preserve">Abramov</t>
  </si>
  <si>
    <t xml:space="preserve">Neil Bluhm</t>
  </si>
  <si>
    <t xml:space="preserve">Bluhm</t>
  </si>
  <si>
    <t xml:space="preserve">Neil</t>
  </si>
  <si>
    <t xml:space="preserve">Alain Bouchard</t>
  </si>
  <si>
    <t xml:space="preserve">Montreal</t>
  </si>
  <si>
    <t xml:space="preserve">Convinience stores</t>
  </si>
  <si>
    <t xml:space="preserve">Bouchard</t>
  </si>
  <si>
    <t xml:space="preserve">Jay Chaudhry</t>
  </si>
  <si>
    <t xml:space="preserve">Reno</t>
  </si>
  <si>
    <t xml:space="preserve">Security software</t>
  </si>
  <si>
    <t xml:space="preserve">Chaudhry</t>
  </si>
  <si>
    <t xml:space="preserve">Jay</t>
  </si>
  <si>
    <t xml:space="preserve">Gopikishan Damani</t>
  </si>
  <si>
    <t xml:space="preserve">Gopikishan</t>
  </si>
  <si>
    <t xml:space="preserve">Sumet Jiaravanon</t>
  </si>
  <si>
    <t xml:space="preserve">Jiaravanon</t>
  </si>
  <si>
    <t xml:space="preserve">Sumet</t>
  </si>
  <si>
    <t xml:space="preserve">Frank Lowy</t>
  </si>
  <si>
    <t xml:space="preserve">Lowy</t>
  </si>
  <si>
    <t xml:space="preserve">Frank</t>
  </si>
  <si>
    <t xml:space="preserve">Michael Milken</t>
  </si>
  <si>
    <t xml:space="preserve">Milken</t>
  </si>
  <si>
    <t xml:space="preserve">David Steward</t>
  </si>
  <si>
    <t xml:space="preserve">IT provider</t>
  </si>
  <si>
    <t xml:space="preserve">Steward</t>
  </si>
  <si>
    <t xml:space="preserve">Les Wexner &amp; family</t>
  </si>
  <si>
    <t xml:space="preserve">New Albany</t>
  </si>
  <si>
    <t xml:space="preserve">Wexner</t>
  </si>
  <si>
    <t xml:space="preserve">Les</t>
  </si>
  <si>
    <t xml:space="preserve">Cai Kui</t>
  </si>
  <si>
    <t xml:space="preserve">Cai</t>
  </si>
  <si>
    <t xml:space="preserve">Kui</t>
  </si>
  <si>
    <t xml:space="preserve">Jaran Chiaravanont</t>
  </si>
  <si>
    <t xml:space="preserve">Chiaravanont</t>
  </si>
  <si>
    <t xml:space="preserve">Jaran</t>
  </si>
  <si>
    <t xml:space="preserve">Andreas Halvorsen</t>
  </si>
  <si>
    <t xml:space="preserve">Darien</t>
  </si>
  <si>
    <t xml:space="preserve">Halvorsen</t>
  </si>
  <si>
    <t xml:space="preserve">Antony Ressler</t>
  </si>
  <si>
    <t xml:space="preserve">Finance</t>
  </si>
  <si>
    <t xml:space="preserve">Ressler</t>
  </si>
  <si>
    <t xml:space="preserve">Antony</t>
  </si>
  <si>
    <t xml:space="preserve">Tsai Eng-meng</t>
  </si>
  <si>
    <t xml:space="preserve">Food, beverages</t>
  </si>
  <si>
    <t xml:space="preserve">Tsai</t>
  </si>
  <si>
    <t xml:space="preserve">Eng-meng</t>
  </si>
  <si>
    <t xml:space="preserve">Josh Harris</t>
  </si>
  <si>
    <t xml:space="preserve">Harris</t>
  </si>
  <si>
    <t xml:space="preserve">Josh</t>
  </si>
  <si>
    <t xml:space="preserve">Niels Peter Louis-Hansen</t>
  </si>
  <si>
    <t xml:space="preserve">Humlebaek</t>
  </si>
  <si>
    <t xml:space="preserve">Louis-Hansen</t>
  </si>
  <si>
    <t xml:space="preserve">Niels Peter</t>
  </si>
  <si>
    <t xml:space="preserve">Patrick Soon-Shiong</t>
  </si>
  <si>
    <t xml:space="preserve">Soon-Shiong</t>
  </si>
  <si>
    <t xml:space="preserve">Rinat Akhmetov</t>
  </si>
  <si>
    <t xml:space="preserve">Ukraine</t>
  </si>
  <si>
    <t xml:space="preserve">Donetsk</t>
  </si>
  <si>
    <t xml:space="preserve">Steel, coal</t>
  </si>
  <si>
    <t xml:space="preserve">Akhmetov</t>
  </si>
  <si>
    <t xml:space="preserve">Rinat</t>
  </si>
  <si>
    <t xml:space="preserve">John Brown</t>
  </si>
  <si>
    <t xml:space="preserve">Brown</t>
  </si>
  <si>
    <t xml:space="preserve">Arthur Irving</t>
  </si>
  <si>
    <t xml:space="preserve">Saint John</t>
  </si>
  <si>
    <t xml:space="preserve">Irving</t>
  </si>
  <si>
    <t xml:space="preserve">Fredrik Lundberg</t>
  </si>
  <si>
    <t xml:space="preserve">Lundberg</t>
  </si>
  <si>
    <t xml:space="preserve">Fredrik</t>
  </si>
  <si>
    <t xml:space="preserve">Thomas Schmidheiny</t>
  </si>
  <si>
    <t xml:space="preserve">Jona</t>
  </si>
  <si>
    <t xml:space="preserve">Schmidheiny</t>
  </si>
  <si>
    <t xml:space="preserve">Daniel Ziff</t>
  </si>
  <si>
    <t xml:space="preserve">Ziff</t>
  </si>
  <si>
    <t xml:space="preserve">Dirk Ziff</t>
  </si>
  <si>
    <t xml:space="preserve">North Palm Beach</t>
  </si>
  <si>
    <t xml:space="preserve">Dirk</t>
  </si>
  <si>
    <t xml:space="preserve">Robert Ziff</t>
  </si>
  <si>
    <t xml:space="preserve">Ray Lee Hunt</t>
  </si>
  <si>
    <t xml:space="preserve">Oil, real estate</t>
  </si>
  <si>
    <t xml:space="preserve">Hunt</t>
  </si>
  <si>
    <t xml:space="preserve">Ray Lee</t>
  </si>
  <si>
    <t xml:space="preserve">Lai Meisong</t>
  </si>
  <si>
    <t xml:space="preserve">Lai</t>
  </si>
  <si>
    <t xml:space="preserve">Meisong</t>
  </si>
  <si>
    <t xml:space="preserve">Vikram Lal &amp; family</t>
  </si>
  <si>
    <t xml:space="preserve">Motorcycles</t>
  </si>
  <si>
    <t xml:space="preserve">Lal</t>
  </si>
  <si>
    <t xml:space="preserve">Vikram</t>
  </si>
  <si>
    <t xml:space="preserve">Ken Langone</t>
  </si>
  <si>
    <t xml:space="preserve">Sands Point</t>
  </si>
  <si>
    <t xml:space="preserve">Langone</t>
  </si>
  <si>
    <t xml:space="preserve">Li Ge</t>
  </si>
  <si>
    <t xml:space="preserve">Pharmaceutical ingredients</t>
  </si>
  <si>
    <t xml:space="preserve">Ge</t>
  </si>
  <si>
    <t xml:space="preserve">Karen Pritzker</t>
  </si>
  <si>
    <t xml:space="preserve">Branford</t>
  </si>
  <si>
    <t xml:space="preserve">Hotels, investments</t>
  </si>
  <si>
    <t xml:space="preserve">Pritzker</t>
  </si>
  <si>
    <t xml:space="preserve">Karen</t>
  </si>
  <si>
    <t xml:space="preserve">Robert Rowling</t>
  </si>
  <si>
    <t xml:space="preserve">Rowling</t>
  </si>
  <si>
    <t xml:space="preserve">Teddy Sagi</t>
  </si>
  <si>
    <t xml:space="preserve">Gambling software</t>
  </si>
  <si>
    <t xml:space="preserve">Sagi</t>
  </si>
  <si>
    <t xml:space="preserve">Teddy</t>
  </si>
  <si>
    <t xml:space="preserve">Seo Jung-jin</t>
  </si>
  <si>
    <t xml:space="preserve">Biotech</t>
  </si>
  <si>
    <t xml:space="preserve">Seo</t>
  </si>
  <si>
    <t xml:space="preserve">Jung-jin</t>
  </si>
  <si>
    <t xml:space="preserve">Wu Jianshu</t>
  </si>
  <si>
    <t xml:space="preserve">Jianshu</t>
  </si>
  <si>
    <t xml:space="preserve">Micky Arison</t>
  </si>
  <si>
    <t xml:space="preserve">Bal Harbour</t>
  </si>
  <si>
    <t xml:space="preserve">Carnival Cruises</t>
  </si>
  <si>
    <t xml:space="preserve">Arison</t>
  </si>
  <si>
    <t xml:space="preserve">Micky</t>
  </si>
  <si>
    <t xml:space="preserve">James Chambers</t>
  </si>
  <si>
    <t xml:space="preserve">Palisades</t>
  </si>
  <si>
    <t xml:space="preserve">Chambers</t>
  </si>
  <si>
    <t xml:space="preserve">John Collison</t>
  </si>
  <si>
    <t xml:space="preserve">Payments software</t>
  </si>
  <si>
    <t xml:space="preserve">Collison</t>
  </si>
  <si>
    <t xml:space="preserve">Patrick Collison</t>
  </si>
  <si>
    <t xml:space="preserve">Payment software</t>
  </si>
  <si>
    <t xml:space="preserve">Archie Aldis Emmerson &amp; family</t>
  </si>
  <si>
    <t xml:space="preserve">Redding</t>
  </si>
  <si>
    <t xml:space="preserve">Timberland, lumber mills</t>
  </si>
  <si>
    <t xml:space="preserve">Emmerson</t>
  </si>
  <si>
    <t xml:space="preserve">Archie Aldis</t>
  </si>
  <si>
    <t xml:space="preserve">Piero Ferrari</t>
  </si>
  <si>
    <t xml:space="preserve">Modena</t>
  </si>
  <si>
    <t xml:space="preserve">Ferrari</t>
  </si>
  <si>
    <t xml:space="preserve">Piero</t>
  </si>
  <si>
    <t xml:space="preserve">Dan Friedkin</t>
  </si>
  <si>
    <t xml:space="preserve">Toyota dealerships</t>
  </si>
  <si>
    <t xml:space="preserve">Friedkin</t>
  </si>
  <si>
    <t xml:space="preserve">James Irving</t>
  </si>
  <si>
    <t xml:space="preserve">Jiang Weiping &amp; family</t>
  </si>
  <si>
    <t xml:space="preserve">Weiping</t>
  </si>
  <si>
    <t xml:space="preserve">Wolfgang Marguerre &amp; family</t>
  </si>
  <si>
    <t xml:space="preserve">Marguerre</t>
  </si>
  <si>
    <t xml:space="preserve">Ludwig Merckle</t>
  </si>
  <si>
    <t xml:space="preserve">Ulm</t>
  </si>
  <si>
    <t xml:space="preserve">Merckle</t>
  </si>
  <si>
    <t xml:space="preserve">Ludwig</t>
  </si>
  <si>
    <t xml:space="preserve">Mitchell Rales</t>
  </si>
  <si>
    <t xml:space="preserve">Potomac</t>
  </si>
  <si>
    <t xml:space="preserve">Mitchell</t>
  </si>
  <si>
    <t xml:space="preserve">Katharine Rayner</t>
  </si>
  <si>
    <t xml:space="preserve">East Hampton</t>
  </si>
  <si>
    <t xml:space="preserve">Rayner</t>
  </si>
  <si>
    <t xml:space="preserve">Katharine</t>
  </si>
  <si>
    <t xml:space="preserve">Paul Singer</t>
  </si>
  <si>
    <t xml:space="preserve">Singer</t>
  </si>
  <si>
    <t xml:space="preserve">Paul</t>
  </si>
  <si>
    <t xml:space="preserve">Sergio Stevanato &amp; family</t>
  </si>
  <si>
    <t xml:space="preserve">Venice</t>
  </si>
  <si>
    <t xml:space="preserve">Medical packaging</t>
  </si>
  <si>
    <t xml:space="preserve">Stevanato</t>
  </si>
  <si>
    <t xml:space="preserve">Sergio</t>
  </si>
  <si>
    <t xml:space="preserve">Margaretta Taylor</t>
  </si>
  <si>
    <t xml:space="preserve">Southampton</t>
  </si>
  <si>
    <t xml:space="preserve">Taylor</t>
  </si>
  <si>
    <t xml:space="preserve">Margaretta</t>
  </si>
  <si>
    <t xml:space="preserve">Richard White</t>
  </si>
  <si>
    <t xml:space="preserve">White</t>
  </si>
  <si>
    <t xml:space="preserve">Zhao Yan</t>
  </si>
  <si>
    <t xml:space="preserve">Yan</t>
  </si>
  <si>
    <t xml:space="preserve">Patrizio Bertelli</t>
  </si>
  <si>
    <t xml:space="preserve">Bertelli</t>
  </si>
  <si>
    <t xml:space="preserve">Patrizio</t>
  </si>
  <si>
    <t xml:space="preserve">Mahendra Choksi &amp; family</t>
  </si>
  <si>
    <t xml:space="preserve">Choksi</t>
  </si>
  <si>
    <t xml:space="preserve">Mahendra</t>
  </si>
  <si>
    <t xml:space="preserve">Mat Ishbia</t>
  </si>
  <si>
    <t xml:space="preserve">Bloomfield Hills</t>
  </si>
  <si>
    <t xml:space="preserve">Mortgage lender</t>
  </si>
  <si>
    <t xml:space="preserve">Ishbia</t>
  </si>
  <si>
    <t xml:space="preserve">Mat</t>
  </si>
  <si>
    <t xml:space="preserve">Leo Koguan</t>
  </si>
  <si>
    <t xml:space="preserve">Koguan</t>
  </si>
  <si>
    <t xml:space="preserve">Leo</t>
  </si>
  <si>
    <t xml:space="preserve">Miao Hangen</t>
  </si>
  <si>
    <t xml:space="preserve">Suzhou</t>
  </si>
  <si>
    <t xml:space="preserve">Textiles, petrochemicals</t>
  </si>
  <si>
    <t xml:space="preserve">Miao</t>
  </si>
  <si>
    <t xml:space="preserve">Hangen</t>
  </si>
  <si>
    <t xml:space="preserve">Michael Pieper</t>
  </si>
  <si>
    <t xml:space="preserve">Lucerne</t>
  </si>
  <si>
    <t xml:space="preserve">Kitchen appliances</t>
  </si>
  <si>
    <t xml:space="preserve">Pieper</t>
  </si>
  <si>
    <t xml:space="preserve">Miuccia Prada</t>
  </si>
  <si>
    <t xml:space="preserve">Prada</t>
  </si>
  <si>
    <t xml:space="preserve">Miuccia</t>
  </si>
  <si>
    <t xml:space="preserve">Wolfgang Reimann</t>
  </si>
  <si>
    <t xml:space="preserve">Passau</t>
  </si>
  <si>
    <t xml:space="preserve">Consumer goods</t>
  </si>
  <si>
    <t xml:space="preserve">Reimann</t>
  </si>
  <si>
    <t xml:space="preserve">Matthias Reimann-Andersen</t>
  </si>
  <si>
    <t xml:space="preserve">Reimann-Andersen</t>
  </si>
  <si>
    <t xml:space="preserve">Matthias</t>
  </si>
  <si>
    <t xml:space="preserve">Stefan Reimann-Andersen</t>
  </si>
  <si>
    <t xml:space="preserve">Renate Reimann-Haas</t>
  </si>
  <si>
    <t xml:space="preserve">Reimann-Haas</t>
  </si>
  <si>
    <t xml:space="preserve">Renate</t>
  </si>
  <si>
    <t xml:space="preserve">Todd Boehly</t>
  </si>
  <si>
    <t xml:space="preserve">Boehly</t>
  </si>
  <si>
    <t xml:space="preserve">Todd</t>
  </si>
  <si>
    <t xml:space="preserve">Rick Caruso</t>
  </si>
  <si>
    <t xml:space="preserve">Caruso</t>
  </si>
  <si>
    <t xml:space="preserve">Ibrahim Erdemoglu</t>
  </si>
  <si>
    <t xml:space="preserve">Turkey</t>
  </si>
  <si>
    <t xml:space="preserve">Istanbul</t>
  </si>
  <si>
    <t xml:space="preserve">Carpet</t>
  </si>
  <si>
    <t xml:space="preserve">Erdemoglu</t>
  </si>
  <si>
    <t xml:space="preserve">Ibrahim</t>
  </si>
  <si>
    <t xml:space="preserve">Elizabeth Johnson</t>
  </si>
  <si>
    <t xml:space="preserve">Douglas Leone</t>
  </si>
  <si>
    <t xml:space="preserve">Leone</t>
  </si>
  <si>
    <t xml:space="preserve">Prajogo Pangestu</t>
  </si>
  <si>
    <t xml:space="preserve">Pangestu</t>
  </si>
  <si>
    <t xml:space="preserve">Prajogo</t>
  </si>
  <si>
    <t xml:space="preserve">Thomas Pritzker</t>
  </si>
  <si>
    <t xml:space="preserve">Lynda Resnick</t>
  </si>
  <si>
    <t xml:space="preserve">Resnick</t>
  </si>
  <si>
    <t xml:space="preserve">Lynda</t>
  </si>
  <si>
    <t xml:space="preserve">Stewart Resnick</t>
  </si>
  <si>
    <t xml:space="preserve">Stewart</t>
  </si>
  <si>
    <t xml:space="preserve">Gary Rollins</t>
  </si>
  <si>
    <t xml:space="preserve">Pest control</t>
  </si>
  <si>
    <t xml:space="preserve">Rollins</t>
  </si>
  <si>
    <t xml:space="preserve">Gary</t>
  </si>
  <si>
    <t xml:space="preserve">Mark Walter</t>
  </si>
  <si>
    <t xml:space="preserve">Finance, asset management</t>
  </si>
  <si>
    <t xml:space="preserve">Walter</t>
  </si>
  <si>
    <t xml:space="preserve">Ronald Wanek</t>
  </si>
  <si>
    <t xml:space="preserve">Saint Petersburg</t>
  </si>
  <si>
    <t xml:space="preserve">Wanek</t>
  </si>
  <si>
    <t xml:space="preserve">Ronald</t>
  </si>
  <si>
    <t xml:space="preserve">Erich Wesjohann &amp; family</t>
  </si>
  <si>
    <t xml:space="preserve">Visbek</t>
  </si>
  <si>
    <t xml:space="preserve">Poultry genetics</t>
  </si>
  <si>
    <t xml:space="preserve">Wesjohann</t>
  </si>
  <si>
    <t xml:space="preserve">Erich</t>
  </si>
  <si>
    <t xml:space="preserve">M.A. Yusuff Ali</t>
  </si>
  <si>
    <t xml:space="preserve">Abu Dhabi</t>
  </si>
  <si>
    <t xml:space="preserve">Yusuff Ali</t>
  </si>
  <si>
    <t xml:space="preserve">M.A.</t>
  </si>
  <si>
    <t xml:space="preserve">Cont.Núm - IDADE ATUAL</t>
  </si>
  <si>
    <t xml:space="preserve">30-40</t>
  </si>
  <si>
    <t xml:space="preserve">40-50</t>
  </si>
  <si>
    <t xml:space="preserve">50-60</t>
  </si>
  <si>
    <t xml:space="preserve">60-70</t>
  </si>
  <si>
    <t xml:space="preserve">70-80</t>
  </si>
  <si>
    <t xml:space="preserve">80-90</t>
  </si>
  <si>
    <t xml:space="preserve">90-100</t>
  </si>
  <si>
    <t xml:space="preserve">Total Resultado</t>
  </si>
  <si>
    <t xml:space="preserve">Soma - FORTUNA FINAL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</si>
</sst>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$-409]#,##0;[RED]\-[$$-409]#,##0"/>
    <numFmt numFmtId="166" formatCode="0"/>
    <numFmt numFmtId="167" formatCode="dd/mm/yyyy"/>
    <numFmt numFmtId="168" formatCode="&quot;VERDADEIRO&quot;;&quot;VERDADEIRO&quot;;&quot;FALSO&quot;"/>
    <numFmt numFmtId="169" formatCode="dd/mm/yy"/>
    <numFmt numFmtId="170" formatCode="0.00"/>
  </numFmts>
  <fonts count="1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b val="true"/>
      <sz val="48"/>
      <color theme="1"/>
      <name val="Calibri"/>
      <family val="2"/>
      <charset val="1"/>
    </font>
    <font>
      <b val="true"/>
      <sz val="60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u val="single"/>
      <sz val="18"/>
      <color theme="10"/>
      <name val="Calibri"/>
      <family val="2"/>
      <charset val="1"/>
    </font>
    <font>
      <u val="single"/>
      <sz val="12"/>
      <color theme="10"/>
      <name val="Calibri"/>
      <family val="2"/>
      <charset val="1"/>
    </font>
    <font>
      <i val="true"/>
      <sz val="14"/>
      <color rgb="FF0432FF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sz val="12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  <fill>
      <patternFill patternType="solid">
        <fgColor theme="7" tint="0.7999"/>
        <bgColor rgb="FFFFFFFF"/>
      </patternFill>
    </fill>
    <fill>
      <patternFill patternType="solid">
        <fgColor rgb="FF8D1D75"/>
        <bgColor rgb="FF800080"/>
      </patternFill>
    </fill>
    <fill>
      <patternFill patternType="solid">
        <fgColor rgb="FFE0C2CD"/>
        <bgColor rgb="FFFFCC99"/>
      </patternFill>
    </fill>
    <fill>
      <patternFill patternType="solid">
        <fgColor rgb="FFA1467E"/>
        <bgColor rgb="FF8D1D75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theme="1"/>
      </left>
      <right/>
      <top style="thin">
        <color theme="1"/>
      </top>
      <bottom/>
      <diagonal/>
    </border>
    <border diagonalUp="false" diagonalDown="false">
      <left/>
      <right/>
      <top style="thin">
        <color theme="1"/>
      </top>
      <bottom/>
      <diagonal/>
    </border>
    <border diagonalUp="false" diagonalDown="false">
      <left/>
      <right style="thin">
        <color theme="1"/>
      </right>
      <top style="thin">
        <color theme="1"/>
      </top>
      <bottom/>
      <diagonal/>
    </border>
    <border diagonalUp="false" diagonalDown="false">
      <left style="thin">
        <color theme="1"/>
      </left>
      <right/>
      <top/>
      <bottom/>
      <diagonal/>
    </border>
    <border diagonalUp="false" diagonalDown="false">
      <left/>
      <right style="thin">
        <color theme="1"/>
      </right>
      <top/>
      <bottom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/>
      <right/>
      <top/>
      <bottom style="thin">
        <color theme="1"/>
      </bottom>
      <diagonal/>
    </border>
    <border diagonalUp="false" diagonalDown="false">
      <left style="thin">
        <color theme="1"/>
      </left>
      <right/>
      <top/>
      <bottom style="thin">
        <color theme="1"/>
      </bottom>
      <diagonal/>
    </border>
    <border diagonalUp="false" diagonalDown="false">
      <left/>
      <right style="thin">
        <color theme="1"/>
      </right>
      <top/>
      <bottom style="thin">
        <color theme="1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5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2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4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7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8" xfId="24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11" xfId="22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13" xfId="26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15" xfId="26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70" fontId="0" fillId="0" borderId="16" xfId="26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7" xfId="2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18" xfId="24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22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23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5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4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1"/>
    <cellStyle name="Canto da tabela dinâmica" xfId="22"/>
    <cellStyle name="Categoria da tabela dinâmica" xfId="23"/>
    <cellStyle name="Resultado da tabela dinâmica" xfId="24"/>
    <cellStyle name="Título da tabela dinâmica" xfId="25"/>
    <cellStyle name="Valor da tabela dinâmica" xfId="26"/>
    <cellStyle name="*unknown*" xfId="20" builtinId="8"/>
  </cellStyles>
  <colors>
    <indexedColors>
      <rgbColor rgb="FF000000"/>
      <rgbColor rgb="FFFFFFFF"/>
      <rgbColor rgb="FFFF0000"/>
      <rgbColor rgb="FF00FF00"/>
      <rgbColor rgb="FF0432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A1467E"/>
      <rgbColor rgb="FFFFF2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8D1D75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https://www.careerprinciples.com/" TargetMode="Externa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2208960</xdr:colOff>
      <xdr:row>3</xdr:row>
      <xdr:rowOff>101520</xdr:rowOff>
    </xdr:from>
    <xdr:to>
      <xdr:col>2</xdr:col>
      <xdr:colOff>5412960</xdr:colOff>
      <xdr:row>5</xdr:row>
      <xdr:rowOff>129960</xdr:rowOff>
    </xdr:to>
    <xdr:pic>
      <xdr:nvPicPr>
        <xdr:cNvPr id="1" name="Picture 1" descr="">
          <a:hlinkClick r:id="rId1"/>
        </xdr:cNvPr>
        <xdr:cNvPicPr/>
      </xdr:nvPicPr>
      <xdr:blipFill>
        <a:blip r:embed="rId2"/>
        <a:stretch/>
      </xdr:blipFill>
      <xdr:spPr>
        <a:xfrm>
          <a:off x="3706920" y="1212120"/>
          <a:ext cx="3204000" cy="1114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81" createdVersion="3">
  <cacheSource type="worksheet">
    <worksheetSource ref="A1:X482" sheet="Dados"/>
  </cacheSource>
  <cacheFields count="24">
    <cacheField name="CLASSIFICAÇÃO" numFmtId="0">
      <sharedItems containsSemiMixedTypes="0" containsString="0" containsNumber="1" containsInteger="1" minValue="1" maxValue="497" count="17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9"/>
        <n v="20"/>
        <n v="21"/>
        <n v="22"/>
        <n v="23"/>
        <n v="24"/>
        <n v="25"/>
        <n v="26"/>
        <n v="27"/>
        <n v="28"/>
        <n v="29"/>
        <n v="30"/>
        <n v="31"/>
        <n v="34"/>
        <n v="35"/>
        <n v="37"/>
        <n v="38"/>
        <n v="39"/>
        <n v="40"/>
        <n v="41"/>
        <n v="43"/>
        <n v="45"/>
        <n v="46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7"/>
        <n v="68"/>
        <n v="69"/>
        <n v="70"/>
        <n v="71"/>
        <n v="72"/>
        <n v="74"/>
        <n v="76"/>
        <n v="77"/>
        <n v="79"/>
        <n v="80"/>
        <n v="81"/>
        <n v="82"/>
        <n v="83"/>
        <n v="84"/>
        <n v="86"/>
        <n v="88"/>
        <n v="89"/>
        <n v="92"/>
        <n v="93"/>
        <n v="94"/>
        <n v="97"/>
        <n v="99"/>
        <n v="100"/>
        <n v="101"/>
        <n v="103"/>
        <n v="104"/>
        <n v="106"/>
        <n v="107"/>
        <n v="108"/>
        <n v="112"/>
        <n v="113"/>
        <n v="114"/>
        <n v="115"/>
        <n v="116"/>
        <n v="118"/>
        <n v="119"/>
        <n v="120"/>
        <n v="121"/>
        <n v="123"/>
        <n v="124"/>
        <n v="127"/>
        <n v="128"/>
        <n v="130"/>
        <n v="133"/>
        <n v="136"/>
        <n v="137"/>
        <n v="138"/>
        <n v="140"/>
        <n v="141"/>
        <n v="142"/>
        <n v="144"/>
        <n v="145"/>
        <n v="147"/>
        <n v="148"/>
        <n v="151"/>
        <n v="153"/>
        <n v="157"/>
        <n v="159"/>
        <n v="161"/>
        <n v="164"/>
        <n v="165"/>
        <n v="167"/>
        <n v="170"/>
        <n v="171"/>
        <n v="179"/>
        <n v="182"/>
        <n v="183"/>
        <n v="184"/>
        <n v="190"/>
        <n v="195"/>
        <n v="202"/>
        <n v="204"/>
        <n v="206"/>
        <n v="208"/>
        <n v="215"/>
        <n v="220"/>
        <n v="223"/>
        <n v="230"/>
        <n v="232"/>
        <n v="239"/>
        <n v="242"/>
        <n v="246"/>
        <n v="249"/>
        <n v="256"/>
        <n v="261"/>
        <n v="268"/>
        <n v="276"/>
        <n v="282"/>
        <n v="290"/>
        <n v="299"/>
        <n v="305"/>
        <n v="312"/>
        <n v="317"/>
        <n v="325"/>
        <n v="332"/>
        <n v="344"/>
        <n v="352"/>
        <n v="365"/>
        <n v="383"/>
        <n v="390"/>
        <n v="397"/>
        <n v="405"/>
        <n v="411"/>
        <n v="418"/>
        <n v="425"/>
        <n v="437"/>
        <n v="442"/>
        <n v="445"/>
        <n v="455"/>
        <n v="466"/>
        <n v="486"/>
        <n v="497"/>
      </sharedItems>
    </cacheField>
    <cacheField name="CATEGORIA" numFmtId="0">
      <sharedItems count="18">
        <s v="Automotive"/>
        <s v="Construction &amp; Engineering"/>
        <s v="Diversified"/>
        <s v="Energy"/>
        <s v="Fashion &amp; Retail"/>
        <s v="Finance &amp; Investments"/>
        <s v="Food &amp; Beverage"/>
        <s v="Gambling &amp; Casinos"/>
        <s v="Healthcare"/>
        <s v="Logistics"/>
        <s v="Manufacturing"/>
        <s v="Media &amp; Entertainment"/>
        <s v="Metals &amp; Mining"/>
        <s v="Real Estate"/>
        <s v="Service"/>
        <s v="Sports"/>
        <s v="Technology"/>
        <s v="Telecom"/>
      </sharedItems>
    </cacheField>
    <cacheField name="NOME PESSOA" numFmtId="0">
      <sharedItems count="475">
        <s v="Abdulsamad Rabiu"/>
        <s v="Abigail Johnson"/>
        <s v="Agnete Kirk Thinggaard"/>
        <s v="Alain Bouchard"/>
        <s v="Alain Merieux &amp; family"/>
        <s v="Alain Wertheimer"/>
        <s v="Alexander Abramov"/>
        <s v="Alexander Otto"/>
        <s v="Alexei Kuzmichev"/>
        <s v="Alexey Mordashov &amp; family"/>
        <s v="Alice Walton"/>
        <s v="Aliko Dangote"/>
        <s v="Amancio Ortega"/>
        <s v="Anders Holch Povlsen"/>
        <s v="Andreas Halvorsen"/>
        <s v="Andreas Struengmann &amp; family"/>
        <s v="Andreas von Bechtolsheim &amp; family"/>
        <s v="Andrei Guriev &amp; family"/>
        <s v="Andrei Skoch &amp; family"/>
        <s v="Andrew Beal"/>
        <s v="Andrew Currie"/>
        <s v="Andrew Forrest"/>
        <s v="Andrey Melnichenko &amp; family"/>
        <s v="Ann Walton Kroenke"/>
        <s v="Annette Lerner &amp; family"/>
        <s v="Anthony Bamford &amp; family"/>
        <s v="Anthony Pratt"/>
        <s v="Anthony von Mandl"/>
        <s v="Antonia Ax:son Johnson &amp; family"/>
        <s v="Antony Ressler"/>
        <s v="Archie Aldis Emmerson &amp; family"/>
        <s v="Arthur Blank"/>
        <s v="Arthur Dantchik"/>
        <s v="Arthur Irving"/>
        <s v="Ashwin Dani &amp; family"/>
        <s v="Autry Stephens"/>
        <s v="Azim Premji"/>
        <s v="Benu Gopal Bangur"/>
        <s v="Bernard Arnault &amp; family"/>
        <s v="Bernard Marcus"/>
        <s v="Bill Gates"/>
        <s v="Blair Parry-Okeden"/>
        <s v="Brian Chesky"/>
        <s v="Bruce Kovner"/>
        <s v="Bubba Cathy"/>
        <s v="Cai Kui"/>
        <s v="Cao Renxian"/>
        <s v="Carl Bennet"/>
        <s v="Carl Cook"/>
        <s v="Carl Icahn"/>
        <s v="Carlos Alberto Sicupira &amp; family"/>
        <s v="Carlos Slim Helu &amp; family"/>
        <s v="Carrie Perrodo &amp; family"/>
        <s v="Changpeng Zhao"/>
        <s v="Charlene de Carvalho-Heineken &amp; family"/>
        <s v="Charles Butt"/>
        <s v="Charles Koch &amp; family"/>
        <s v="Charles Schwab"/>
        <s v="Charoen Sirivadhanabhakdi"/>
        <s v="Chase Coleman, III."/>
        <s v="Chen Bang"/>
        <s v="Chen Jianhua"/>
        <s v="Christopher Hohn"/>
        <s v="Christy Walton"/>
        <s v="Colin Zheng Huang"/>
        <s v="Cyrus Poonawalla"/>
        <s v="Dan Cathy"/>
        <s v="Dan Friedkin"/>
        <s v="Dang Yanbao"/>
        <s v="Daniel Gilbert"/>
        <s v="Daniel Kretinsky"/>
        <s v="Daniel Ziff"/>
        <s v="Dannine Avara"/>
        <s v="David Bonderman"/>
        <s v="David Cheriton"/>
        <s v="David Duffield"/>
        <s v="David Geffen"/>
        <s v="David Green &amp; family"/>
        <s v="David Reuben"/>
        <s v="David Shaw"/>
        <s v="David Siegel"/>
        <s v="David Steward"/>
        <s v="David Sun"/>
        <s v="David Tepper"/>
        <s v="David Thomson &amp; family"/>
        <s v="Denise Coates"/>
        <s v="Dennis Washington"/>
        <s v="Dhanin Chearavanont"/>
        <s v="Diane Hendricks"/>
        <s v="Dieter Schwarz"/>
        <s v="Dilip Shanghvi"/>
        <s v="Ding Shijia"/>
        <s v="Ding Shizhong"/>
        <s v="Dirk Ziff"/>
        <s v="Dmitri Bukhman"/>
        <s v="Don Hankey"/>
        <s v="Don Vultaggio &amp; family"/>
        <s v="Donald Bren"/>
        <s v="Donald Newhouse"/>
        <s v="Douglas Leone"/>
        <s v="Dustin Moskovitz"/>
        <s v="Eduardo Saverin"/>
        <s v="Edward Johnson, IV."/>
        <s v="Edward Roski, Jr."/>
        <s v="Edythe Broad &amp; family"/>
        <s v="Elizabeth Johnson"/>
        <s v="Elon Musk"/>
        <s v="Emmanuel Besnier"/>
        <s v="Enrique Razon Jr."/>
        <s v="Eric Li"/>
        <s v="Eric Schmidt"/>
        <s v="Eric Smidt"/>
        <s v="Erich Wesjohann &amp; family"/>
        <s v="Ernesto Bertarelli"/>
        <s v="Finn Rausing"/>
        <s v="François Pinault &amp; family"/>
        <s v="Francoise Bettencourt Meyers &amp; family"/>
        <s v="Frank Lowy"/>
        <s v="Frederik Paulsen"/>
        <s v="Fredrik Lundberg"/>
        <s v="Friedhelm Loh"/>
        <s v="Frits Goldschmeding"/>
        <s v="Gao Jifan &amp; family"/>
        <s v="Gary Rollins"/>
        <s v="Gautam Adani"/>
        <s v="Gennady Timchenko"/>
        <s v="Georg Schaeffler"/>
        <s v="Georg Stumpf"/>
        <s v="George Kaiser"/>
        <s v="George Roberts"/>
        <s v="George Soros"/>
        <s v="Gerard Wertheimer"/>
        <s v="German Khan"/>
        <s v="Germán Larrea Mota Velasco &amp; family"/>
        <s v="Gianluigi Aponte"/>
        <s v="Gina Rinehart"/>
        <s v="Giorgio Armani"/>
        <s v="Giovanni Ferrero"/>
        <s v="Goh Cheng Liang"/>
        <s v="Gopikishan Damani"/>
        <s v="Gordon Moore"/>
        <s v="Graeme Hart"/>
        <s v="Guillaume Pousaz"/>
        <s v="Gustaf Douglas"/>
        <s v="Harold Hamm &amp; family"/>
        <s v="Harry Stine"/>
        <s v="Harry Triguboff"/>
        <s v="Hasmukh Chudgar &amp; family"/>
        <s v="Hasso Plattner &amp; family"/>
        <s v="He Xiangjian &amp; family"/>
        <s v="Henry Kravis"/>
        <s v="Henry Nicholas, III."/>
        <s v="Henry Samueli"/>
        <s v="Huang Shilin"/>
        <s v="Ibrahim Erdemoglu"/>
        <s v="Idan Ofer"/>
        <s v="Igor Bukhman"/>
        <s v="Igor Olenicoff"/>
        <s v="Iris Fontbona &amp; family"/>
        <s v="Iskander Makhmudov"/>
        <s v="Israel Englander"/>
        <s v="Ivan Glasenberg"/>
        <s v="Ivar Tollefsen"/>
        <s v="J. Christopher Reyes"/>
        <s v="Jack Dangermond"/>
        <s v="Jack Ma"/>
        <s v="Jacqueline Mars"/>
        <s v="Jacques Saadé, Jr."/>
        <s v="James Chambers"/>
        <s v="James Dyson"/>
        <s v="James Goodnight"/>
        <s v="James Irving"/>
        <s v="James Ratcliffe"/>
        <s v="Jan Koum"/>
        <s v="Jaran Chiaravanont"/>
        <s v="Jay Chaudhry"/>
        <s v="Jay Y. Lee"/>
        <s v="Jean-Michel Besnier"/>
        <s v="Jeff Bezos"/>
        <s v="Jeff Greene"/>
        <s v="Jeff Yass"/>
        <s v="Jeffery Hildebrand"/>
        <s v="Jensen Huang"/>
        <s v="Jerry Jones"/>
        <s v="Jian Jun"/>
        <s v="Jiang Rensheng &amp; family"/>
        <s v="Jiang Weiping &amp; family"/>
        <s v="Jim Kennedy"/>
        <s v="Jim Pattison"/>
        <s v="Jim Simons"/>
        <s v="Jim Walton"/>
        <s v="Jin Baofang"/>
        <s v="Joe Gebbia"/>
        <s v="Johann Graf"/>
        <s v="Johann Rupert &amp; family"/>
        <s v="John A. Sobrato &amp; family"/>
        <s v="John Brown"/>
        <s v="John Collison"/>
        <s v="John Doerr"/>
        <s v="John Fredriksen"/>
        <s v="John Grayken"/>
        <s v="John Malone"/>
        <s v="John Mars"/>
        <s v="John Menard, Jr."/>
        <s v="John Morris"/>
        <s v="John Overdeck"/>
        <s v="John Reece"/>
        <s v="John Tu"/>
        <s v="Jorge Paulo Lemann &amp; family"/>
        <s v="Jorn Rausing"/>
        <s v="Josh Harris"/>
        <s v="Jude Reyes"/>
        <s v="Judy Faulkner"/>
        <s v="Judy Love &amp; family"/>
        <s v="Julia Koch &amp; family"/>
        <s v="Karel Komarek"/>
        <s v="Karen Pritzker"/>
        <s v="Katharine Rayner"/>
        <s v="Ken Fisher"/>
        <s v="Ken Griffin"/>
        <s v="Ken Langone"/>
        <s v="Kirsten Rausing"/>
        <s v="Kjeld Kirk Kristiansen"/>
        <s v="Klaus-Michael Kuehne"/>
        <s v="Kumar Birla"/>
        <s v="Kushal Pal Singh"/>
        <s v="Lai Meisong"/>
        <s v="Lakshmi Mittal"/>
        <s v="Larry Ellison"/>
        <s v="Larry Page"/>
        <s v="Laurene Powell Jobs &amp; family"/>
        <s v="Laurent Dassault"/>
        <s v="Lei Jun"/>
        <s v="Len Blavatnik"/>
        <s v="Leo Koguan"/>
        <s v="Leon Black"/>
        <s v="Leonard Lauder"/>
        <s v="Leonard Stern"/>
        <s v="Leonid Fedun"/>
        <s v="Leonid Mikhelson &amp; family"/>
        <s v="Les Wexner &amp; family"/>
        <s v="Li Ge"/>
        <s v="Li Ping"/>
        <s v="Li Shuirong &amp; family"/>
        <s v="Li Xiting"/>
        <s v="Li Zhenguo &amp; family"/>
        <s v="Liang Wengen"/>
        <s v="Lin Jianhua"/>
        <s v="Lin Muqin &amp; family"/>
        <s v="Liu Hanyuan"/>
        <s v="Liu Jincheng &amp; family"/>
        <s v="Liu Yonghao &amp; family"/>
        <s v="Liu Yongxing"/>
        <s v="Low Tuck Kwong"/>
        <s v="Lu Xiangyang"/>
        <s v="Ludwig Merckle"/>
        <s v="Luis Carlos Sarmiento"/>
        <s v="Lukas Walton"/>
        <s v="Luo Liguo &amp; family"/>
        <s v="Lynda Resnick"/>
        <s v="M.A. Yusuff Ali"/>
        <s v="Ma Huateng"/>
        <s v="Ma Jianrong"/>
        <s v="MacKenzie Scott"/>
        <s v="Magdalena Martullo-Blocher"/>
        <s v="Mahendra Choksi &amp; family"/>
        <s v="Manuel Villar"/>
        <s v="Marc Benioff"/>
        <s v="Marcel Herrmann Telles"/>
        <s v="Margaretta Taylor"/>
        <s v="Maria Asuncion Aramburuzabala &amp; family"/>
        <s v="Marie Besnier Beauvalot"/>
        <s v="Marie-Hélène Habert-Dassault"/>
        <s v="Marijke Mars"/>
        <s v="Mark Mateschitz"/>
        <s v="Mark Walter"/>
        <s v="Mark Zuckerberg"/>
        <s v="Masayoshi Son"/>
        <s v="Massimiliana Landini Aleotti &amp; family"/>
        <s v="Mat Ishbia"/>
        <s v="Matthias Reimann-Andersen"/>
        <s v="Melinda French Gates"/>
        <s v="Melker Schorling &amp; family"/>
        <s v="Miao Hangen"/>
        <s v="Michael Bloomberg"/>
        <s v="Michael Dell"/>
        <s v="Michael Hartono"/>
        <s v="Michael Herz"/>
        <s v="Michael Kim"/>
        <s v="Michael Milken"/>
        <s v="Michael Otto"/>
        <s v="Michael Pieper"/>
        <s v="Michael Platt"/>
        <s v="Michael Rubin"/>
        <s v="Michal Solowow"/>
        <s v="Micky Arison"/>
        <s v="Mike Adenuga"/>
        <s v="Mike Cannon-Brookes"/>
        <s v="Mikhail Fridman"/>
        <s v="Mikhail Prokhorov"/>
        <s v="Milane Frantz"/>
        <s v="Miriam Adelson &amp; family"/>
        <s v="Mitchell Rales"/>
        <s v="Miuccia Prada"/>
        <s v="Mukesh Ambani"/>
        <s v="Nadia Thiele"/>
        <s v="Nancy Walton Laurie"/>
        <s v="Nassef Sawiris"/>
        <s v="Nathan Blecharczyk"/>
        <s v="Neil Bluhm"/>
        <s v="Nicky Oppenheimer &amp; family"/>
        <s v="Nicolas Puech"/>
        <s v="Niels Peter Louis-Hansen"/>
        <s v="Orlando Bravo"/>
        <s v="Pamela Mars"/>
        <s v="Pang Kang"/>
        <s v="Patrick Collison"/>
        <s v="Patrick Ryan"/>
        <s v="Patrick Soon-Shiong"/>
        <s v="Patrizio Bertelli"/>
        <s v="Paul Singer"/>
        <s v="Paul Tudor Jones, II."/>
        <s v="Pauline MacMillan Keinath"/>
        <s v="Pavel Durov"/>
        <s v="Pavel Tykac"/>
        <s v="Pei Zhenhua"/>
        <s v="Phil Knight &amp; family"/>
        <s v="Philip Anschutz"/>
        <s v="Philip Ng"/>
        <s v="Philippe Laffont"/>
        <s v="Piero Ferrari"/>
        <s v="Pierre Omidyar"/>
        <s v="Prajogo Pangestu"/>
        <s v="Qi Shi &amp; family"/>
        <s v="Qin Yinglin"/>
        <s v="Quek Leng Chan"/>
        <s v="R. Budi Hartono"/>
        <s v="Radhakishan Damani"/>
        <s v="Radovan Vitek"/>
        <s v="Rafaela Aponte-Diamant"/>
        <s v="Rahel Blocher"/>
        <s v="Ralph Lauren"/>
        <s v="Ramzi Musallam"/>
        <s v="Randa Duncan Williams"/>
        <s v="Ravi Jaipuria"/>
        <s v="Ray Dalio"/>
        <s v="Ray Lee Hunt"/>
        <s v="Reinhold Schmieding"/>
        <s v="Reinhold Wuerth &amp; family"/>
        <s v="Renata Kellnerova &amp; family"/>
        <s v="Renate Reimann-Haas"/>
        <s v="Ricardo Salinas Pliego &amp; family"/>
        <s v="Richard Kinder"/>
        <s v="Richard Liu"/>
        <s v="Richard White"/>
        <s v="Rick Caruso"/>
        <s v="Rick Cohen &amp; family"/>
        <s v="Rinat Akhmetov"/>
        <s v="Rob Walton &amp; family"/>
        <s v="Robert F. Smith"/>
        <s v="Robert Kraft"/>
        <s v="Robert Ng"/>
        <s v="Robert Pera"/>
        <s v="Robert Rowling"/>
        <s v="Robert Ziff"/>
        <s v="Robin Li"/>
        <s v="Robin Zeng"/>
        <s v="Rocco Commisso"/>
        <s v="Rodolphe Saadé"/>
        <s v="Rohiqa Cyrus Mistry"/>
        <s v="Roman Abramovich &amp; family"/>
        <s v="Ronald Wanek"/>
        <s v="Ronda Stryker"/>
        <s v="Ruan Liping"/>
        <s v="Ruan Xueping"/>
        <s v="Rupert Murdoch &amp; family"/>
        <s v="Sandra Ortega Mera"/>
        <s v="Sarath Ratanavadi"/>
        <s v="Savitri Jindal &amp; family"/>
        <s v="Scott Duncan"/>
        <s v="Scott Farquhar"/>
        <s v="Seo Jung-jin"/>
        <s v="Sergey Brin"/>
        <s v="Sergio Stevanato &amp; family"/>
        <s v="Shahid Khan"/>
        <s v="Shapoor Mistry"/>
        <s v="Shiv Nadar"/>
        <s v="Silvio Berlusconi &amp; family"/>
        <s v="Sky Xu"/>
        <s v="Sofie Kirk Kristiansen"/>
        <s v="Sri Prakash Lohia"/>
        <s v="Stanley Druckenmiller"/>
        <s v="Stanley Kroenke"/>
        <s v="Stef Wertheimer &amp; family"/>
        <s v="Stefan Persson"/>
        <s v="Stefan Quandt"/>
        <s v="Stefan Reimann-Andersen"/>
        <s v="Stephen Bisciotti"/>
        <s v="Stephen Ross"/>
        <s v="Stephen Schwarzman"/>
        <s v="Steve Ballmer"/>
        <s v="Steve Cohen"/>
        <s v="Steven Rales"/>
        <s v="Stewart Resnick"/>
        <s v="Suleiman Kerimov &amp; family"/>
        <s v="Sumet Jiaravanon"/>
        <s v="Sun Piaoyang"/>
        <s v="Susanne Klatten"/>
        <s v="Tadashi Yanai &amp; family"/>
        <s v="Takahisa Takahara"/>
        <s v="Takemitsu Takizaki"/>
        <s v="Tamara Gustavson"/>
        <s v="Tanya Saadé Zeenny"/>
        <s v="Tatyana Bakalchuk"/>
        <s v="Teddy Sagi"/>
        <s v="Terrence Pegula"/>
        <s v="Theo Albrecht, Jr. &amp; family"/>
        <s v="Thierry Dassault"/>
        <s v="Thomas Frist, Jr. &amp; family"/>
        <s v="Thomas Kirk Kristiansen"/>
        <s v="Thomas Peterffy"/>
        <s v="Thomas Pritzker"/>
        <s v="Thomas Schmidheiny"/>
        <s v="Thomas Struengmann &amp; family"/>
        <s v="Tilman Fertitta"/>
        <s v="Todd Boehly"/>
        <s v="Tom Gores"/>
        <s v="Trudy Cathy White"/>
        <s v="Tsai Eng-meng"/>
        <s v="Uday Kotak"/>
        <s v="Vagit Alekperov"/>
        <s v="Valerie Mars"/>
        <s v="Viatcheslav Kantor"/>
        <s v="Vicky Safra &amp; family"/>
        <s v="Victoria Mars"/>
        <s v="Vikram Lal &amp; family"/>
        <s v="Viktor Rashnikov"/>
        <s v="Viktor Vekselberg"/>
        <s v="Vincent Bolloré &amp; family"/>
        <s v="Vinod Adani"/>
        <s v="Vladimir Lisin"/>
        <s v="Vladimir Potanin"/>
        <s v="Wang Chuanfu"/>
        <s v="Wang Jianlin"/>
        <s v="Wang Laichun"/>
        <s v="Wang Laisheng"/>
        <s v="Wang Liping &amp; family"/>
        <s v="Wang Wei"/>
        <s v="Wang Wenyin"/>
        <s v="Wang Xing"/>
        <s v="Wang Yusuo &amp; family"/>
        <s v="Warren Buffett"/>
        <s v="Wee Cho Yaw"/>
        <s v="Wei Jianjun &amp; family"/>
        <s v="William Ding"/>
        <s v="Wolfgang Herz"/>
        <s v="Wolfgang Marguerre &amp; family"/>
        <s v="Wolfgang Reimann"/>
        <s v="Wu Jianshu"/>
        <s v="Wu Yajun"/>
        <s v="Xavier Niel"/>
        <s v="Xu Hang"/>
        <s v="Xu Shihui"/>
        <s v="Yang Huiyan &amp; family"/>
        <s v="Yao Liangsong"/>
        <s v="Yuri Milner"/>
        <s v="Zhang Hejun"/>
        <s v="Zhang Yiming"/>
        <s v="Zhang Yong"/>
        <s v="Zhang Zhidong"/>
        <s v="Zhao Yan"/>
        <s v="Zheng Shuliang &amp; family"/>
        <s v="Zhong Huijuan"/>
        <s v="Zhong Shanshan"/>
        <s v="Zong Qinghou"/>
      </sharedItems>
    </cacheField>
    <cacheField name="PAÍS" numFmtId="0">
      <sharedItems count="39">
        <s v="Australia"/>
        <s v="Austria"/>
        <s v="Belgium"/>
        <s v="Brazil"/>
        <s v="Canada"/>
        <s v="Chile"/>
        <s v="China"/>
        <s v="Colombia"/>
        <s v="Czech Republic"/>
        <s v="Denmark"/>
        <s v="Egypt"/>
        <s v="France"/>
        <s v="Germany"/>
        <s v="India"/>
        <s v="Indonesia"/>
        <s v="Israel"/>
        <s v="Italy"/>
        <s v="Japan"/>
        <s v="Malaysia"/>
        <s v="Mexico"/>
        <s v="Netherlands"/>
        <s v="New Zealand"/>
        <s v="Nigeria"/>
        <s v="Norway"/>
        <s v="Philippines"/>
        <s v="Poland"/>
        <s v="Russia"/>
        <s v="Singapore"/>
        <s v="South Africa"/>
        <s v="South Korea"/>
        <s v="Spain"/>
        <s v="Sweden"/>
        <s v="Switzerland"/>
        <s v="Thailand"/>
        <s v="Turkey"/>
        <s v="Ukraine"/>
        <s v="United Arab Emirates"/>
        <s v="United Kingdom"/>
        <s v="United States"/>
      </sharedItems>
    </cacheField>
    <cacheField name="CIDADE" numFmtId="0">
      <sharedItems count="221">
        <s v="Aarhus"/>
        <s v="Abu Dhabi"/>
        <s v="Adel"/>
        <s v="Afton"/>
        <s v="Ahmedabad"/>
        <s v="Alexandria"/>
        <s v="Amsterdam"/>
        <s v="Atherton"/>
        <s v="Atlanta"/>
        <s v="Auckland"/>
        <s v="Austin"/>
        <s v="Bad Homburg"/>
        <s v="Bal Harbour"/>
        <s v="Bangalore"/>
        <s v="Bangkok"/>
        <s v="Baoding"/>
        <s v="Beijing"/>
        <s v="Bentonville"/>
        <s v="Beverly Hills"/>
        <s v="Billund"/>
        <s v="Binzhou"/>
        <s v="Bloomfield Hills"/>
        <s v="Bloomington"/>
        <s v="Boca Raton"/>
        <s v="Bogota"/>
        <s v="Boston"/>
        <s v="Branford"/>
        <s v="Brookline"/>
        <s v="Brussels"/>
        <s v="Bryn Mawr"/>
        <s v="Cairo"/>
        <s v="Cape Town"/>
        <s v="Cary"/>
        <s v="Changsha"/>
        <s v="Changzhou"/>
        <s v="Chengdu"/>
        <s v="Chevy Chase"/>
        <s v="Chicago"/>
        <s v="Chongqing"/>
        <s v="Crans Montana"/>
        <s v="Crans-Montana"/>
        <s v="Dallas"/>
        <s v="Darien"/>
        <s v="Delhi"/>
        <s v="Denver"/>
        <s v="Donetsk"/>
        <s v="Dubai"/>
        <s v="East Hampton"/>
        <s v="East Setauket"/>
        <s v="Eau Claire"/>
        <s v="Electra"/>
        <s v="Elizabeth"/>
        <s v="Feldmeilen"/>
        <s v="Fiesole"/>
        <s v="Fort Worth"/>
        <s v="Foshan"/>
        <s v="Frankfurt"/>
        <s v="Franklin"/>
        <s v="Frauenfeld"/>
        <s v="Geneva"/>
        <s v="Gladwyne"/>
        <s v="Gloucestershire"/>
        <s v="Gothenberg"/>
        <s v="Greenwich"/>
        <s v="Gstaad"/>
        <s v="Guangzhou"/>
        <s v="Haiger"/>
        <s v="Hamburg"/>
        <s v="Hampton"/>
        <s v="Hangzhou"/>
        <s v="Haverford"/>
        <s v="Hefei"/>
        <s v="Heidelberg"/>
        <s v="Henderson"/>
        <s v="Herzliya"/>
        <s v="Herzogenaurach"/>
        <s v="Hillsboro"/>
        <s v="Hisar"/>
        <s v="Hobe Sound"/>
        <s v="Honolulu"/>
        <s v="Houston"/>
        <s v="Huizhou"/>
        <s v="Humlebaek"/>
        <s v="Hunts Point"/>
        <s v="Incline Village"/>
        <s v="Indian Creek"/>
        <s v="Irvine"/>
        <s v="Istanbul"/>
        <s v="Jackson"/>
        <s v="Jakarta"/>
        <s v="Johannesburg"/>
        <s v="Jona"/>
        <s v="Katonah"/>
        <s v="Keene"/>
        <s v="Kielce"/>
        <s v="Kolkata"/>
        <s v="Kuala Lumpur"/>
        <s v="Kudus"/>
        <s v="Kuenzelsau"/>
        <s v="La Coruna"/>
        <s v="Lagos"/>
        <s v="Lanai"/>
        <s v="Langfang"/>
        <s v="Las Vegas"/>
        <s v="Lausanne"/>
        <s v="Laval"/>
        <s v="Lexington"/>
        <s v="Lianyungang"/>
        <s v="Lighthouse Point"/>
        <s v="London"/>
        <s v="Los Altos"/>
        <s v="Los Angeles"/>
        <s v="Lucerne"/>
        <s v="Lyon"/>
        <s v="Madison"/>
        <s v="Magnitogorsk"/>
        <s v="Malibu"/>
        <s v="Manila"/>
        <s v="Marseille"/>
        <s v="Martigny"/>
        <s v="Medina"/>
        <s v="Melbourne"/>
        <s v="Mexico City"/>
        <s v="Miami"/>
        <s v="Miami Beach"/>
        <s v="Midland"/>
        <s v="Milan"/>
        <s v="Millburn"/>
        <s v="Milton"/>
        <s v="Missoula"/>
        <s v="Modena"/>
        <s v="Montreal"/>
        <s v="Moscow"/>
        <s v="Moscow region"/>
        <s v="Mulheim an der Ruhr"/>
        <s v="Mumbai"/>
        <s v="Munich"/>
        <s v="Nanyang"/>
        <s v="Naples"/>
        <s v="Nashville"/>
        <s v="Neckarsulm"/>
        <s v="New Albany"/>
        <s v="New South Wales"/>
        <s v="New York"/>
        <s v="Newmarket"/>
        <s v="Newport Beach"/>
        <s v="Newport Coast"/>
        <s v="Ningbo"/>
        <s v="Ningde"/>
        <s v="North Palm Beach"/>
        <s v="Oklahoma City"/>
        <s v="Omaha"/>
        <s v="Osaka"/>
        <s v="Oslo"/>
        <s v="Palisades"/>
        <s v="Palm Beach"/>
        <s v="Palo Alto"/>
        <s v="Paris"/>
        <s v="Passau"/>
        <s v="Perth"/>
        <s v="Philadelphia"/>
        <s v="Port Washington"/>
        <s v="Portage"/>
        <s v="Potomac"/>
        <s v="Prague"/>
        <s v="Pune"/>
        <s v="Quanzhou"/>
        <s v="Ras Al Khaimah"/>
        <s v="Redding"/>
        <s v="Redlands"/>
        <s v="Reno"/>
        <s v="Rolling Hills"/>
        <s v="Ruschlikon"/>
        <s v="Saddle River"/>
        <s v="Saint John"/>
        <s v="Saint Petersburg"/>
        <s v="Salzburg"/>
        <s v="San Antonio"/>
        <s v="San Francisco"/>
        <s v="San Jose"/>
        <s v="Sands Point"/>
        <s v="Santa Barbara"/>
        <s v="Santiago"/>
        <s v="Sao Paulo"/>
        <s v="Scarsdale"/>
        <s v="Schindellegi"/>
        <s v="Seattle"/>
        <s v="Seoul"/>
        <s v="Shanghai"/>
        <s v="Shenzhen"/>
        <s v="Singapore"/>
        <s v="Southampton"/>
        <s v="Springfield"/>
        <s v="St. Gallen"/>
        <s v="St. Louis"/>
        <s v="Stockholm"/>
        <s v="Stoke-on-Trent"/>
        <s v="Surrey"/>
        <s v="Suzhou"/>
        <s v="Sydney"/>
        <s v="Tegernsee"/>
        <s v="Tel Aviv"/>
        <s v="The Plains"/>
        <s v="Tokyo"/>
        <s v="Toronto"/>
        <s v="Tulsa"/>
        <s v="Ulm"/>
        <s v="Vancouver"/>
        <s v="Venice"/>
        <s v="Verbier"/>
        <s v="Vienna"/>
        <s v="Visbek"/>
        <s v="Wichita"/>
        <s v="Wilen bei Wollerau"/>
        <s v="Winnetka"/>
        <s v="Woodside"/>
        <s v="Wujiang"/>
        <s v="Xi'an"/>
        <s v="Xingtai"/>
        <s v="Yinchuan"/>
        <s v="Zurich"/>
      </sharedItems>
    </cacheField>
    <cacheField name="SERVIÇO" numFmtId="0">
      <sharedItems count="236">
        <s v="Agribusiness"/>
        <s v="Agriculture"/>
        <s v="Airbnb"/>
        <s v="Alcohol, real estate"/>
        <s v="Alcoholic beverages"/>
        <s v="Aldi, Trader Joe's"/>
        <s v="Aluminum products"/>
        <s v="Amazon"/>
        <s v="Apparel"/>
        <s v="Apple, Disney"/>
        <s v="Auto loans"/>
        <s v="Auto parts"/>
        <s v="Automobiles"/>
        <s v="Automobiles, batteries"/>
        <s v="Banking"/>
        <s v="Banking, property"/>
        <s v="Banking, tobacco"/>
        <s v="Banks, real estate"/>
        <s v="Batteries"/>
        <s v="Batteries, automobiles"/>
        <s v="Beer"/>
        <s v="Beer, investments"/>
        <s v="Berkshire Hathaway"/>
        <s v="Beverages"/>
        <s v="Beverages, pharmaceuticals"/>
        <s v="Biomedical products"/>
        <s v="Biotech"/>
        <s v="Biotech, investments"/>
        <s v="Bloomberg LP"/>
        <s v="BMW"/>
        <s v="BMW, pharmaceuticals"/>
        <s v="Building supplies"/>
        <s v="Business software"/>
        <s v="Cable television"/>
        <s v="Candy, pet food"/>
        <s v="Cargill"/>
        <s v="Carnival Cruises"/>
        <s v="Carpet"/>
        <s v="Casinos"/>
        <s v="Cement"/>
        <s v="Cement, sugar"/>
        <s v="Chanel"/>
        <s v="Cheese"/>
        <s v="Chemicals"/>
        <s v="Chick-fil-A"/>
        <s v="Coal"/>
        <s v="Coal mines"/>
        <s v="Coffee"/>
        <s v="Commodities"/>
        <s v="Computer hardware"/>
        <s v="Construction equipment"/>
        <s v="Construction, investments"/>
        <s v="Construction, mining"/>
        <s v="Consumer goods"/>
        <s v="Convinience stores"/>
        <s v="Cryptocurrency exchange"/>
        <s v="Dallas Cowboys"/>
        <s v="Dell Technologies"/>
        <s v="Diamonds"/>
        <s v="Discount brokerage"/>
        <s v="Diversified"/>
        <s v="E-commerce"/>
        <s v="EBay, PayPal"/>
        <s v="Ecommerce"/>
        <s v="Electronics"/>
        <s v="Electronics components"/>
        <s v="Energy"/>
        <s v="Energy, investments"/>
        <s v="Energy, sports, entertainment"/>
        <s v="Estee Lauder"/>
        <s v="Facebook"/>
        <s v="Fashion retail"/>
        <s v="Fasteners"/>
        <s v="Fertilizer, real estate"/>
        <s v="Fertilizers"/>
        <s v="Fertilizers, coal"/>
        <s v="Fidelity"/>
        <s v="Finance"/>
        <s v="Finance, asset management"/>
        <s v="Finance, telecommunications"/>
        <s v="Financial information"/>
        <s v="Fintech"/>
        <s v="Food delivery"/>
        <s v="Food distribution"/>
        <s v="Food, beverages"/>
        <s v="Furniture"/>
        <s v="Gambling"/>
        <s v="Gambling software"/>
        <s v="Gas stations"/>
        <s v="Gas, chemicals"/>
        <s v="Gold"/>
        <s v="Google"/>
        <s v="H&amp;M"/>
        <s v="Hardware stores"/>
        <s v="Health care"/>
        <s v="Healthcare software"/>
        <s v="Hedge fund"/>
        <s v="Hedge funds"/>
        <s v="Heineken"/>
        <s v="Hermes"/>
        <s v="Home appliances"/>
        <s v="Home Depot"/>
        <s v="Home improvement stores"/>
        <s v="Homebuilding, insurance"/>
        <s v="Hospitals"/>
        <s v="Hotels, investments"/>
        <s v="Houston Rockets, entertainment"/>
        <s v="Hydraulic machinery"/>
        <s v="Infrastructure, commodities"/>
        <s v="Insurance"/>
        <s v="Intel"/>
        <s v="Internet media"/>
        <s v="Internet search"/>
        <s v="Internet, telecom"/>
        <s v="Investments"/>
        <s v="Investments, real estate"/>
        <s v="IT provider"/>
        <s v="Kitchen appliances"/>
        <s v="Koch Industries"/>
        <s v="L'Oréal"/>
        <s v="Lego"/>
        <s v="Lithium batteries"/>
        <s v="Luxury goods"/>
        <s v="LVMH"/>
        <s v="Manufacturing"/>
        <s v="Manufacturing, investments"/>
        <s v="Manufacturing, New England Patriots"/>
        <s v="Mapping software"/>
        <s v="Media"/>
        <s v="Media, automotive"/>
        <s v="medical devices"/>
        <s v="Medical equipment"/>
        <s v="Medical packaging"/>
        <s v="Messaging app"/>
        <s v="Metals"/>
        <s v="Metals and mining"/>
        <s v="Metals, investments"/>
        <s v="Metalworking tools"/>
        <s v="Microsoft"/>
        <s v="Mining"/>
        <s v="Mining, copper products"/>
        <s v="Mining, metals, machinery"/>
        <s v="Money management"/>
        <s v="Mortgage lender"/>
        <s v="Motorcycles"/>
        <s v="Movies, record labels"/>
        <s v="Music, chemicals"/>
        <s v="Natural gas"/>
        <s v="Natural gas distribution"/>
        <s v="Newspapers, TV network"/>
        <s v="Nike"/>
        <s v="Nutella, chocolates"/>
        <s v="Oil"/>
        <s v="Oil &amp; gas"/>
        <s v="Oil &amp; gas, banking"/>
        <s v="Oil and gas, IT, lotteries"/>
        <s v="Oil, banking, telecom"/>
        <s v="Oil, gas"/>
        <s v="Oil, real estate"/>
        <s v="Online gambling"/>
        <s v="Online games"/>
        <s v="Online retail"/>
        <s v="Oracle"/>
        <s v="Package delivery"/>
        <s v="Packaging"/>
        <s v="Paints"/>
        <s v="Payment software"/>
        <s v="Payments software"/>
        <s v="Personal care goods"/>
        <s v="Pest control"/>
        <s v="Petrochemicals"/>
        <s v="Pharmaceutical ingredients"/>
        <s v="Pharmaceuticals"/>
        <s v="Photovoltaic equipment"/>
        <s v="Pig breeding"/>
        <s v="Pipelines"/>
        <s v="Ports"/>
        <s v="Poultry genetics"/>
        <s v="Power strip"/>
        <s v="Power strips"/>
        <s v="Private equity"/>
        <s v="Quicken Loans"/>
        <s v="Real estate"/>
        <s v="Real estate, construction"/>
        <s v="Real estate, investments"/>
        <s v="Red Bull"/>
        <s v="Restaurants"/>
        <s v="Retail"/>
        <s v="Retail, investments"/>
        <s v="Retail, media"/>
        <s v="Retail, real estate"/>
        <s v="Samsung"/>
        <s v="Security software"/>
        <s v="Self storage"/>
        <s v="Semiconductors"/>
        <s v="Sensors"/>
        <s v="Shipping"/>
        <s v="Smartphones"/>
        <s v="Snacks, beverages"/>
        <s v="Soft drinks, fast food"/>
        <s v="Software"/>
        <s v="software services"/>
        <s v="Solar equipment"/>
        <s v="Solar panel components"/>
        <s v="Solar panels"/>
        <s v="Solar wafers and modules"/>
        <s v="Soy sauce"/>
        <s v="Sporting goods retail"/>
        <s v="Sports apparel"/>
        <s v="Sports, real estate"/>
        <s v="Staffing, Baltimore Ravens"/>
        <s v="Steel"/>
        <s v="Steel, coal"/>
        <s v="Steel, investments"/>
        <s v="Steel, mining"/>
        <s v="Steel, transport"/>
        <s v="Supermarkets"/>
        <s v="Tech investments"/>
        <s v="Telecom"/>
        <s v="Telecom, oil"/>
        <s v="Temp agency"/>
        <s v="Tesla, SpaceX"/>
        <s v="Textiles, apparel"/>
        <s v="Textiles, petrochemicals"/>
        <s v="TikTok"/>
        <s v="Timberland, lumber mills"/>
        <s v="Toyota dealerships"/>
        <s v="Trading, investments"/>
        <s v="Vaccines"/>
        <s v="Vacuums"/>
        <s v="Venture capital"/>
        <s v="Walmart"/>
        <s v="Warehouse automation"/>
        <s v="WhatsApp"/>
        <s v="Wireless networking"/>
        <s v="Zara"/>
      </sharedItems>
    </cacheField>
    <cacheField name="INDÚSTRIA" numFmtId="0">
      <sharedItems count="18">
        <s v="Automotive"/>
        <s v="Construction &amp; Engineering"/>
        <s v="Diversified"/>
        <s v="Energy"/>
        <s v="Fashion &amp; Retail"/>
        <s v="Finance &amp; Investments"/>
        <s v="Food &amp; Beverage"/>
        <s v="Gambling &amp; Casinos"/>
        <s v="Healthcare"/>
        <s v="Logistics"/>
        <s v="Manufacturing"/>
        <s v="Media &amp; Entertainment"/>
        <s v="Metals &amp; Mining"/>
        <s v="Real Estate"/>
        <s v="Service"/>
        <s v="Sports"/>
        <s v="Technology"/>
        <s v="Telecom"/>
      </sharedItems>
    </cacheField>
    <cacheField name="AUTOCONSTRUÍDO" numFmtId="0">
      <sharedItems count="2">
        <s v="FALSE"/>
        <s v="TRUE"/>
      </sharedItems>
    </cacheField>
    <cacheField name="GÊNERO" numFmtId="0">
      <sharedItems count="2">
        <s v="Female"/>
        <s v="Male"/>
      </sharedItems>
    </cacheField>
    <cacheField name="SOBRENOME" numFmtId="0">
      <sharedItems count="394">
        <s v="Abramov"/>
        <s v="Abramovich"/>
        <s v="Adani"/>
        <s v="Adelson"/>
        <s v="Adenuga"/>
        <s v="Akhmetov"/>
        <s v="Albrecht"/>
        <s v="Alekperov"/>
        <s v="Ambani"/>
        <s v="Anschutz"/>
        <s v="Aponte"/>
        <s v="Aponte-Diamant"/>
        <s v="Aramburuzabala"/>
        <s v="Arison"/>
        <s v="Armani"/>
        <s v="Arnault"/>
        <s v="Avara"/>
        <s v="Ax:son Johnson"/>
        <s v="Bakalchuk"/>
        <s v="Ballmer"/>
        <s v="Bamford"/>
        <s v="Bangur"/>
        <s v="Beal"/>
        <s v="Benioff"/>
        <s v="Bennet"/>
        <s v="Berlusconi"/>
        <s v="Bertarelli"/>
        <s v="Bertelli"/>
        <s v="Besnier"/>
        <s v="Besnier Beauvalot"/>
        <s v="Bettencourt Meyers"/>
        <s v="Bezos"/>
        <s v="Birla"/>
        <s v="Bisciotti"/>
        <s v="Black"/>
        <s v="Blank"/>
        <s v="Blavatnik"/>
        <s v="Blecharczyk"/>
        <s v="Blocher"/>
        <s v="Bloomberg"/>
        <s v="Bluhm"/>
        <s v="Boehly"/>
        <s v="Bolloré"/>
        <s v="Bonderman"/>
        <s v="Bouchard"/>
        <s v="Bravo"/>
        <s v="Bren"/>
        <s v="Brin"/>
        <s v="Broad"/>
        <s v="Brown"/>
        <s v="Buffett"/>
        <s v="Bukhman"/>
        <s v="Butt"/>
        <s v="Cai"/>
        <s v="Cannon-Brookes"/>
        <s v="Cao"/>
        <s v="Caruso"/>
        <s v="Cathy"/>
        <s v="Cathy White"/>
        <s v="Chambers"/>
        <s v="Chaudhry"/>
        <s v="Chearavanont"/>
        <s v="Chen"/>
        <s v="Cheriton"/>
        <s v="Chesky"/>
        <s v="Chiaravanont"/>
        <s v="Choksi"/>
        <s v="Chudgar"/>
        <s v="Coates"/>
        <s v="Cohen"/>
        <s v="Coleman"/>
        <s v="Collison"/>
        <s v="Commisso"/>
        <s v="Cook"/>
        <s v="Currie"/>
        <s v="Dalio"/>
        <s v="Damani"/>
        <s v="Dang"/>
        <s v="Dangermond"/>
        <s v="Dangote"/>
        <s v="Dani"/>
        <s v="Dantchik"/>
        <s v="Dassault"/>
        <s v="de Carvalho-Heineken"/>
        <s v="Dell"/>
        <s v="Ding"/>
        <s v="Doerr"/>
        <s v="Douglas"/>
        <s v="Druckenmiller"/>
        <s v="Duffield"/>
        <s v="Duncan"/>
        <s v="Durov"/>
        <s v="Dyson"/>
        <s v="Ellison"/>
        <s v="Emmerson"/>
        <s v="Englander"/>
        <s v="Erdemoglu"/>
        <s v="Farquhar"/>
        <s v="Faulkner"/>
        <s v="Fedun"/>
        <s v="Ferrari"/>
        <s v="Ferrero"/>
        <s v="Fertitta"/>
        <s v="Fisher"/>
        <s v="Fontbona"/>
        <s v="Forrest"/>
        <s v="Frantz"/>
        <s v="Fredriksen"/>
        <s v="French Gates"/>
        <s v="Fridman"/>
        <s v="Friedkin"/>
        <s v="Frist"/>
        <s v="Gao"/>
        <s v="Gates"/>
        <s v="Gebbia"/>
        <s v="Geffen"/>
        <s v="Gilbert"/>
        <s v="Glasenberg"/>
        <s v="Goh"/>
        <s v="Goldschmeding"/>
        <s v="Goodnight"/>
        <s v="Gores"/>
        <s v="Graf"/>
        <s v="Grayken"/>
        <s v="Green"/>
        <s v="Greene"/>
        <s v="Griffin"/>
        <s v="Guriev &amp; family"/>
        <s v="Gustavson"/>
        <s v="Habert-Dassault"/>
        <s v="Halvorsen"/>
        <s v="Hamm"/>
        <s v="Hankey"/>
        <s v="Harris"/>
        <s v="Hart"/>
        <s v="Hartono"/>
        <s v="He"/>
        <s v="Hendricks"/>
        <s v="Herz"/>
        <s v="Hildebrand"/>
        <s v="Hohn"/>
        <s v="Huang"/>
        <s v="Hunt"/>
        <s v="Icahn"/>
        <s v="Irving"/>
        <s v="Ishbia"/>
        <s v="Jaipuria"/>
        <s v="Jian"/>
        <s v="Jiang"/>
        <s v="Jiaravanon"/>
        <s v="Jin"/>
        <s v="Jindal"/>
        <s v="Johnson"/>
        <s v="Jones"/>
        <s v="Kaiser"/>
        <s v="Kantor"/>
        <s v="Keinath"/>
        <s v="Kellnerova"/>
        <s v="Kennedy"/>
        <s v="Kerimov &amp; family"/>
        <s v="Khan"/>
        <s v="Kim"/>
        <s v="Kinder"/>
        <s v="Klatten"/>
        <s v="Knight"/>
        <s v="Koch"/>
        <s v="Koguan"/>
        <s v="Komarek"/>
        <s v="Kotak"/>
        <s v="Koum"/>
        <s v="Kovner"/>
        <s v="Kraft"/>
        <s v="Kravis"/>
        <s v="Kretinsky"/>
        <s v="Kristiansen"/>
        <s v="Kroenke"/>
        <s v="Kuehne"/>
        <s v="Kuzmichev"/>
        <s v="Laffont"/>
        <s v="Lai"/>
        <s v="Lal"/>
        <s v="Landini Aleotti"/>
        <s v="Langone"/>
        <s v="Larrea Mota Velasco"/>
        <s v="Lauder"/>
        <s v="Lauren"/>
        <s v="Laurie"/>
        <s v="Lee"/>
        <s v="Lei"/>
        <s v="Lemann"/>
        <s v="Leone"/>
        <s v="Lerner"/>
        <s v="Li"/>
        <s v="Liang"/>
        <s v="Lin"/>
        <s v="Lisin"/>
        <s v="Liu"/>
        <s v="Loh"/>
        <s v="Lohia"/>
        <s v="Louis-Hansen"/>
        <s v="Love"/>
        <s v="Low Tuck"/>
        <s v="Lowy"/>
        <s v="Lu"/>
        <s v="Lundberg"/>
        <s v="Luo"/>
        <s v="Ma"/>
        <s v="Makhmudov"/>
        <s v="Malone"/>
        <s v="Marcus"/>
        <s v="Marguerre"/>
        <s v="Mars"/>
        <s v="Martullo-Blocher"/>
        <s v="Mateschitz"/>
        <s v="Melnichenko"/>
        <s v="Menard"/>
        <s v="Merckle"/>
        <s v="Merieux"/>
        <s v="Miao"/>
        <s v="Mikhelson"/>
        <s v="Milken"/>
        <s v="Milner"/>
        <s v="Mistry"/>
        <s v="Mittal"/>
        <s v="Moore"/>
        <s v="Mordashov"/>
        <s v="Morris"/>
        <s v="Moskovitz"/>
        <s v="Murdoch"/>
        <s v="Musallam"/>
        <s v="Musk"/>
        <s v="Nadar"/>
        <s v="Newhouse"/>
        <s v="Ng"/>
        <s v="Nicholas"/>
        <s v="Niel"/>
        <s v="Ofer"/>
        <s v="Olenicoff"/>
        <s v="Omidyar"/>
        <s v="Oppenheimer"/>
        <s v="Ortega"/>
        <s v="Ortega Mera"/>
        <s v="Otto"/>
        <s v="Overdeck"/>
        <s v="Page"/>
        <s v="Pang"/>
        <s v="Pangestu"/>
        <s v="Parry-Okeden"/>
        <s v="Pattison"/>
        <s v="Paulsen"/>
        <s v="Pegula"/>
        <s v="Pei"/>
        <s v="Pera"/>
        <s v="Perrodo"/>
        <s v="Persson"/>
        <s v="Peterffy"/>
        <s v="Pieper"/>
        <s v="Pinault"/>
        <s v="Platt"/>
        <s v="Plattner"/>
        <s v="Poonawalla"/>
        <s v="Potanin"/>
        <s v="Pousaz"/>
        <s v="Povlsen"/>
        <s v="Powell Jobs"/>
        <s v="Prada"/>
        <s v="Pratt"/>
        <s v="Premji"/>
        <s v="Pritzker"/>
        <s v="Prokhorov"/>
        <s v="Puech"/>
        <s v="Qi"/>
        <s v="Qin"/>
        <s v="Quandt"/>
        <s v="Quek"/>
        <s v="Rabiu"/>
        <s v="Rales"/>
        <s v="Rashnikov"/>
        <s v="Ratanavadi"/>
        <s v="Ratcliffe"/>
        <s v="Rausing"/>
        <s v="Rayner"/>
        <s v="Razon Jr."/>
        <s v="Reece"/>
        <s v="Reimann"/>
        <s v="Reimann-Andersen"/>
        <s v="Reimann-Haas"/>
        <s v="Resnick"/>
        <s v="Ressler"/>
        <s v="Reuben"/>
        <s v="Reyes"/>
        <s v="Rinehart"/>
        <s v="Roberts"/>
        <s v="Rollins"/>
        <s v="Roski"/>
        <s v="Ross"/>
        <s v="Rowling"/>
        <s v="Ruan"/>
        <s v="Rubin"/>
        <s v="Rupert"/>
        <s v="Ryan"/>
        <s v="Saadé"/>
        <s v="Saadé Zeenny"/>
        <s v="Safra"/>
        <s v="Sagi"/>
        <s v="Salinas Pliego"/>
        <s v="Samueli"/>
        <s v="Sarmiento"/>
        <s v="Saverin"/>
        <s v="Sawiris"/>
        <s v="Schaeffler"/>
        <s v="Schmidheiny"/>
        <s v="Schmidt"/>
        <s v="Schmieding"/>
        <s v="Schorling"/>
        <s v="Schwab"/>
        <s v="Schwarz"/>
        <s v="Schwarzman"/>
        <s v="Scott"/>
        <s v="Seo"/>
        <s v="Shanghvi"/>
        <s v="Shaw"/>
        <s v="Sicupira"/>
        <s v="Siegel"/>
        <s v="Simons"/>
        <s v="Singer"/>
        <s v="Singh"/>
        <s v="Sirivadhanabhakdi"/>
        <s v="Skoch &amp; family"/>
        <s v="Slim Helu"/>
        <s v="Smidt"/>
        <s v="Smith"/>
        <s v="Sobrato"/>
        <s v="Solowow"/>
        <s v="Son"/>
        <s v="Soon-Shiong"/>
        <s v="Soros"/>
        <s v="Stephens"/>
        <s v="Stern"/>
        <s v="Stevanato"/>
        <s v="Steward"/>
        <s v="Stine"/>
        <s v="Struengmann"/>
        <s v="Stryker"/>
        <s v="Stumpf"/>
        <s v="Sun"/>
        <s v="Takahara"/>
        <s v="Takizaki"/>
        <s v="Taylor"/>
        <s v="Telles"/>
        <s v="Tepper"/>
        <s v="Thiele"/>
        <s v="Thinggaard"/>
        <s v="Thomson"/>
        <s v="Timchenko"/>
        <s v="Tollefsen"/>
        <s v="Triguboff"/>
        <s v="Tsai"/>
        <s v="Tu"/>
        <s v="Tykac"/>
        <s v="Vekselberg"/>
        <s v="Villar"/>
        <s v="Vitek"/>
        <s v="von Bechtolsheim"/>
        <s v="von Mandl"/>
        <s v="Vultaggio"/>
        <s v="Walter"/>
        <s v="Walton"/>
        <s v="Wanek"/>
        <s v="Wang"/>
        <s v="Washington"/>
        <s v="Wee"/>
        <s v="Wei"/>
        <s v="Wertheimer"/>
        <s v="Wesjohann"/>
        <s v="Wexner"/>
        <s v="White"/>
        <s v="Williams"/>
        <s v="Wu"/>
        <s v="Wuerth"/>
        <s v="Xu"/>
        <s v="Yanai"/>
        <s v="Yang"/>
        <s v="Yao"/>
        <s v="Yass"/>
        <s v="Yusuff Ali"/>
        <s v="Zeng"/>
        <s v="Zhang"/>
        <s v="Zhao"/>
        <s v="Zheng"/>
        <s v="Zhong"/>
        <s v="Ziff"/>
        <s v="Zong"/>
        <s v="Zuckerberg"/>
      </sharedItems>
    </cacheField>
    <cacheField name="PRIMEIRO NOME" numFmtId="0">
      <sharedItems count="360">
        <s v="Abdulsamad"/>
        <s v="Abigail"/>
        <s v="Agnete Kirk"/>
        <s v="Alain"/>
        <s v="Alexander"/>
        <s v="Alexei"/>
        <s v="Alexey"/>
        <s v="Alice"/>
        <s v="Aliko"/>
        <s v="Amancio"/>
        <s v="Anders Holch"/>
        <s v="Andreas"/>
        <s v="Andrei"/>
        <s v="Andrew"/>
        <s v="Andrey"/>
        <s v="Ann Walton"/>
        <s v="Annette"/>
        <s v="Anthony"/>
        <s v="Antonia"/>
        <s v="Antony"/>
        <s v="Archie Aldis"/>
        <s v="Arthur"/>
        <s v="Ashwin"/>
        <s v="Autry"/>
        <s v="Azim"/>
        <s v="Bang"/>
        <s v="Baofang"/>
        <s v="Benu Gopal"/>
        <s v="Bernard"/>
        <s v="Bill"/>
        <s v="Blair"/>
        <s v="Brian"/>
        <s v="Bruce"/>
        <s v="Bubba"/>
        <s v="Carl"/>
        <s v="Carlos"/>
        <s v="Carlos Alberto"/>
        <s v="Carrie"/>
        <s v="Changpeng"/>
        <s v="Charlene"/>
        <s v="Charles"/>
        <s v="Charoen"/>
        <s v="Chase"/>
        <s v="Cheng Liang"/>
        <s v="Cho Yaw"/>
        <s v="Christopher"/>
        <s v="Christy"/>
        <s v="Chuanfu"/>
        <s v="Colin Zheng"/>
        <s v="Cyrus"/>
        <s v="Dan"/>
        <s v="Daniel"/>
        <s v="Dannine"/>
        <s v="David"/>
        <s v="Denise"/>
        <s v="Dennis"/>
        <s v="Dhanin"/>
        <s v="Diane"/>
        <s v="Dieter"/>
        <s v="Dilip"/>
        <s v="Dirk"/>
        <s v="Dmitri"/>
        <s v="Don"/>
        <s v="Donald"/>
        <s v="Douglas"/>
        <s v="Dustin"/>
        <s v="Eduardo"/>
        <s v="Edward"/>
        <s v="Edythe"/>
        <s v="Elizabeth"/>
        <s v="Elon"/>
        <s v="Emmanuel"/>
        <s v="Eng-meng"/>
        <s v="Enrique"/>
        <s v="Eric"/>
        <s v="Erich"/>
        <s v="Ernesto"/>
        <s v="Finn"/>
        <s v="François"/>
        <s v="Francoise"/>
        <s v="Frank"/>
        <s v="Frederik"/>
        <s v="Fredrik"/>
        <s v="Friedhelm"/>
        <s v="Frits"/>
        <s v="Gary"/>
        <s v="Gautam"/>
        <s v="Ge"/>
        <s v="Gennady"/>
        <s v="Georg"/>
        <s v="George"/>
        <s v="Gerard"/>
        <s v="German"/>
        <s v="Germán"/>
        <s v="Gianluigi"/>
        <s v="Gina"/>
        <s v="Giorgio"/>
        <s v="Giovanni"/>
        <s v="Gopikishan"/>
        <s v="Gordon"/>
        <s v="Graeme"/>
        <s v="Guillaume"/>
        <s v="Gustaf"/>
        <s v="Hang"/>
        <s v="Hangen"/>
        <s v="Hanyuan"/>
        <s v="Harold"/>
        <s v="Harry"/>
        <s v="Hasmukh"/>
        <s v="Hasso"/>
        <s v="Hejun"/>
        <s v="Henry"/>
        <s v="Huateng"/>
        <s v="Huijuan"/>
        <s v="Huiyan"/>
        <s v="Ibrahim"/>
        <s v="Idan"/>
        <s v="Igor"/>
        <s v="Iris"/>
        <s v="Iskander"/>
        <s v="Israel"/>
        <s v="Ivan"/>
        <s v="Ivar"/>
        <s v="J. Christopher"/>
        <s v="Jack"/>
        <s v="Jacqueline"/>
        <s v="Jacques"/>
        <s v="James"/>
        <s v="Jan"/>
        <s v="Jaran"/>
        <s v="Jay"/>
        <s v="Jay Y."/>
        <s v="Jean-Michel"/>
        <s v="Jeff"/>
        <s v="Jeffery"/>
        <s v="Jensen"/>
        <s v="Jerry"/>
        <s v="Jianhua"/>
        <s v="Jianjun"/>
        <s v="Jianlin"/>
        <s v="Jianrong"/>
        <s v="Jianshu"/>
        <s v="Jifan"/>
        <s v="Jim"/>
        <s v="Jincheng"/>
        <s v="Joe"/>
        <s v="Johann"/>
        <s v="John"/>
        <s v="John A."/>
        <s v="Jorge Paulo"/>
        <s v="Jorn"/>
        <s v="Josh"/>
        <s v="Jude"/>
        <s v="Judy"/>
        <s v="Julia"/>
        <s v="Jun"/>
        <s v="Jung-jin"/>
        <s v="Kang"/>
        <s v="Karel"/>
        <s v="Karen"/>
        <s v="Katharine"/>
        <s v="Ken"/>
        <s v="Kirsten"/>
        <s v="Kjeld Kirk"/>
        <s v="Klaus-Michael"/>
        <s v="Kui"/>
        <s v="Kumar"/>
        <s v="Kushal Pal"/>
        <s v="Kwong"/>
        <s v="Laichun"/>
        <s v="Laisheng"/>
        <s v="Lakshmi"/>
        <s v="Larry"/>
        <s v="Laurene"/>
        <s v="Laurent"/>
        <s v="Len"/>
        <s v="Leng Chan"/>
        <s v="Leo"/>
        <s v="Leon"/>
        <s v="Leonard"/>
        <s v="Leonid"/>
        <s v="Les"/>
        <s v="Liangsong"/>
        <s v="Liguo"/>
        <s v="Liping"/>
        <s v="Ludwig"/>
        <s v="Luis Carlos"/>
        <s v="Lukas"/>
        <s v="Lynda"/>
        <s v="M.A."/>
        <s v="MacKenzie"/>
        <s v="Magdalena"/>
        <s v="Mahendra"/>
        <s v="Manuel"/>
        <s v="Marc"/>
        <s v="Marcel Herrmann"/>
        <s v="Margaretta"/>
        <s v="Maria Asuncion"/>
        <s v="Marie"/>
        <s v="Marie-Hélène"/>
        <s v="Marijke"/>
        <s v="Mark"/>
        <s v="Masayoshi"/>
        <s v="Massimiliana"/>
        <s v="Mat"/>
        <s v="Matthias"/>
        <s v="Meisong"/>
        <s v="Melinda"/>
        <s v="Melker"/>
        <s v="Michael"/>
        <s v="Michal"/>
        <s v="Micky"/>
        <s v="Mike"/>
        <s v="Mikhail"/>
        <s v="Milane"/>
        <s v="Miriam"/>
        <s v="Mitchell"/>
        <s v="Miuccia"/>
        <s v="Mukesh"/>
        <s v="Muqin"/>
        <s v="Nadia"/>
        <s v="Nancy Walton"/>
        <s v="Nassef"/>
        <s v="Nathan"/>
        <s v="Neil"/>
        <s v="Nicky"/>
        <s v="Nicolas"/>
        <s v="Niels Peter"/>
        <s v="Orlando"/>
        <s v="Pamela"/>
        <s v="Patrick"/>
        <s v="Patrizio"/>
        <s v="Paul"/>
        <s v="Paul Tudor"/>
        <s v="Pauline MacMillan"/>
        <s v="Pavel"/>
        <s v="Phil"/>
        <s v="Philip"/>
        <s v="Philippe"/>
        <s v="Piaoyang"/>
        <s v="Piero"/>
        <s v="Pierre"/>
        <s v="Ping"/>
        <s v="Prajogo"/>
        <s v="Qinghou"/>
        <s v="R. Budi"/>
        <s v="Radhakishan"/>
        <s v="Radovan"/>
        <s v="Rafaela"/>
        <s v="Rahel"/>
        <s v="Ralph"/>
        <s v="Ramzi"/>
        <s v="Randa Duncan"/>
        <s v="Ravi"/>
        <s v="Ray"/>
        <s v="Ray Lee"/>
        <s v="Reinhold"/>
        <s v="Renata"/>
        <s v="Renate"/>
        <s v="Rensheng"/>
        <s v="Renxian"/>
        <s v="Ricardo"/>
        <s v="Richard"/>
        <s v="Rick"/>
        <s v="Rinat"/>
        <s v="Rob"/>
        <s v="Robert"/>
        <s v="Robert F."/>
        <s v="Robin"/>
        <s v="Rocco"/>
        <s v="Rodolphe"/>
        <s v="Rohiqa Cyrus"/>
        <s v="Roman"/>
        <s v="Ronald"/>
        <s v="Ronda"/>
        <s v="Rupert"/>
        <s v="Sandra"/>
        <s v="Sarath"/>
        <s v="Savitri"/>
        <s v="Scott"/>
        <s v="Sergey"/>
        <s v="Sergio"/>
        <s v="Shahid"/>
        <s v="Shanshan"/>
        <s v="Shapoor"/>
        <s v="Shi"/>
        <s v="Shihui"/>
        <s v="Shijia"/>
        <s v="Shilin"/>
        <s v="Shiv"/>
        <s v="Shizhong"/>
        <s v="Shuirong"/>
        <s v="Shuliang"/>
        <s v="Silvio"/>
        <s v="Sky"/>
        <s v="Sofie Kirk"/>
        <s v="Sri Prakash"/>
        <s v="Stanley"/>
        <s v="Stef"/>
        <s v="Stefan"/>
        <s v="Stephen"/>
        <s v="Steve"/>
        <s v="Steven"/>
        <s v="Stewart"/>
        <s v="Suleiman"/>
        <s v="Sumet"/>
        <s v="Susanne"/>
        <s v="Tadashi"/>
        <s v="Takahisa"/>
        <s v="Takemitsu"/>
        <s v="Tamara"/>
        <s v="Tanya"/>
        <s v="Tatyana"/>
        <s v="Teddy"/>
        <s v="Terrence"/>
        <s v="Theo"/>
        <s v="Thierry"/>
        <s v="Thomas"/>
        <s v="Thomas Kirk"/>
        <s v="Tilman"/>
        <s v="Todd"/>
        <s v="Tom"/>
        <s v="Trudy"/>
        <s v="Uday"/>
        <s v="Vagit"/>
        <s v="Valerie"/>
        <s v="Viatcheslav"/>
        <s v="Vicky"/>
        <s v="Victoria"/>
        <s v="Vikram"/>
        <s v="Viktor"/>
        <s v="Vincent"/>
        <s v="Vinod"/>
        <s v="Vladimir"/>
        <s v="Warren"/>
        <s v="Wei"/>
        <s v="Weiping"/>
        <s v="Wengen"/>
        <s v="Wenyin"/>
        <s v="William"/>
        <s v="Wolfgang"/>
        <s v="Xavier"/>
        <s v="Xiangjian"/>
        <s v="Xiangyang"/>
        <s v="Xing"/>
        <s v="Xiting"/>
        <s v="Xueping"/>
        <s v="Yajun"/>
        <s v="Yan"/>
        <s v="Yanbao"/>
        <s v="Yiming"/>
        <s v="Yinglin"/>
        <s v="Yong"/>
        <s v="Yonghao"/>
        <s v="Yongxing"/>
        <s v="Yuri"/>
        <s v="Yusuo"/>
        <s v="Zhenguo"/>
        <s v="Zhenhua"/>
        <s v="Zhidong"/>
      </sharedItems>
    </cacheField>
    <cacheField name="FORTUNA FINAL" numFmtId="0">
      <sharedItems containsSemiMixedTypes="0" containsString="0" containsNumber="1" containsInteger="1" minValue="5300" maxValue="211000" count="171">
        <n v="5300"/>
        <n v="5400"/>
        <n v="5500"/>
        <n v="5600"/>
        <n v="5700"/>
        <n v="5800"/>
        <n v="5900"/>
        <n v="6000"/>
        <n v="6100"/>
        <n v="6200"/>
        <n v="6300"/>
        <n v="6400"/>
        <n v="6500"/>
        <n v="6600"/>
        <n v="6700"/>
        <n v="6800"/>
        <n v="6900"/>
        <n v="7000"/>
        <n v="7100"/>
        <n v="7200"/>
        <n v="7300"/>
        <n v="7400"/>
        <n v="7500"/>
        <n v="7600"/>
        <n v="7700"/>
        <n v="7800"/>
        <n v="7900"/>
        <n v="8000"/>
        <n v="8100"/>
        <n v="8200"/>
        <n v="8300"/>
        <n v="8400"/>
        <n v="8500"/>
        <n v="8600"/>
        <n v="8700"/>
        <n v="8800"/>
        <n v="8900"/>
        <n v="9000"/>
        <n v="9200"/>
        <n v="9300"/>
        <n v="9400"/>
        <n v="9500"/>
        <n v="9600"/>
        <n v="9700"/>
        <n v="9800"/>
        <n v="9900"/>
        <n v="10000"/>
        <n v="10100"/>
        <n v="10200"/>
        <n v="10300"/>
        <n v="10500"/>
        <n v="10600"/>
        <n v="10700"/>
        <n v="10900"/>
        <n v="11000"/>
        <n v="11100"/>
        <n v="11300"/>
        <n v="11400"/>
        <n v="11500"/>
        <n v="11600"/>
        <n v="12000"/>
        <n v="12100"/>
        <n v="12200"/>
        <n v="12300"/>
        <n v="12600"/>
        <n v="12900"/>
        <n v="13100"/>
        <n v="13200"/>
        <n v="13300"/>
        <n v="13700"/>
        <n v="13900"/>
        <n v="14000"/>
        <n v="14200"/>
        <n v="14300"/>
        <n v="14500"/>
        <n v="14600"/>
        <n v="14700"/>
        <n v="14800"/>
        <n v="14900"/>
        <n v="15200"/>
        <n v="15300"/>
        <n v="15500"/>
        <n v="15600"/>
        <n v="15800"/>
        <n v="15900"/>
        <n v="16000"/>
        <n v="16200"/>
        <n v="16300"/>
        <n v="16500"/>
        <n v="16700"/>
        <n v="17100"/>
        <n v="17400"/>
        <n v="17500"/>
        <n v="17700"/>
        <n v="18000"/>
        <n v="18500"/>
        <n v="18700"/>
        <n v="18900"/>
        <n v="19000"/>
        <n v="19100"/>
        <n v="19600"/>
        <n v="20200"/>
        <n v="20500"/>
        <n v="20900"/>
        <n v="21000"/>
        <n v="21100"/>
        <n v="21200"/>
        <n v="21600"/>
        <n v="22000"/>
        <n v="22100"/>
        <n v="22400"/>
        <n v="22600"/>
        <n v="22900"/>
        <n v="23100"/>
        <n v="23400"/>
        <n v="23500"/>
        <n v="23700"/>
        <n v="24200"/>
        <n v="24400"/>
        <n v="24600"/>
        <n v="25200"/>
        <n v="25300"/>
        <n v="25500"/>
        <n v="25600"/>
        <n v="26600"/>
        <n v="26700"/>
        <n v="27000"/>
        <n v="27400"/>
        <n v="27800"/>
        <n v="28100"/>
        <n v="28500"/>
        <n v="29700"/>
        <n v="30200"/>
        <n v="31200"/>
        <n v="31600"/>
        <n v="32100"/>
        <n v="32600"/>
        <n v="33400"/>
        <n v="34700"/>
        <n v="35000"/>
        <n v="35300"/>
        <n v="38300"/>
        <n v="38900"/>
        <n v="39100"/>
        <n v="40100"/>
        <n v="42900"/>
        <n v="45000"/>
        <n v="45100"/>
        <n v="47200"/>
        <n v="50100"/>
        <n v="54400"/>
        <n v="56700"/>
        <n v="57600"/>
        <n v="58800"/>
        <n v="59000"/>
        <n v="64400"/>
        <n v="68000"/>
        <n v="76000"/>
        <n v="77300"/>
        <n v="79200"/>
        <n v="80500"/>
        <n v="80700"/>
        <n v="83400"/>
        <n v="93000"/>
        <n v="94500"/>
        <n v="104000"/>
        <n v="106000"/>
        <n v="107000"/>
        <n v="114000"/>
        <n v="180000"/>
        <n v="211000"/>
      </sharedItems>
    </cacheField>
    <cacheField name="ANO NASCIMENTO" numFmtId="0">
      <sharedItems containsSemiMixedTypes="0" containsString="0" containsNumber="1" containsInteger="1" minValue="1926" maxValue="1992" count="64"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8"/>
        <n v="1990"/>
        <n v="1992"/>
      </sharedItems>
    </cacheField>
    <cacheField name="MÊS NASCIMENTO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IA NASCIMENTO" numFmtId="0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IPC DO PAÍS" numFmtId="0">
      <sharedItems containsSemiMixedTypes="0" containsString="0" containsNumber="1" minValue="99.55" maxValue="288.57" count="39">
        <n v="99.55"/>
        <n v="105.48"/>
        <n v="108.15"/>
        <n v="110.05"/>
        <n v="110.35"/>
        <n v="110.51"/>
        <n v="110.62"/>
        <n v="110.96"/>
        <n v="112.85"/>
        <n v="113.27"/>
        <n v="114.11"/>
        <n v="114.24"/>
        <n v="114.41"/>
        <n v="114.52"/>
        <n v="115.16"/>
        <n v="115.91"/>
        <n v="116.48"/>
        <n v="116.76"/>
        <n v="117.11"/>
        <n v="117.24"/>
        <n v="118.06"/>
        <n v="119.62"/>
        <n v="119.8"/>
        <n v="120.27"/>
        <n v="121.46"/>
        <n v="125.08"/>
        <n v="129.61"/>
        <n v="131.91"/>
        <n v="140.95"/>
        <n v="141.54"/>
        <n v="151.18"/>
        <n v="158.93"/>
        <n v="167.4"/>
        <n v="180.44"/>
        <n v="180.75"/>
        <n v="234.44"/>
        <n v="267.51"/>
        <n v="281.66"/>
        <n v="288.57"/>
      </sharedItems>
    </cacheField>
    <cacheField name="PIB DO PAÍS" numFmtId="0">
      <sharedItems containsSemiMixedTypes="0" containsString="0" containsNumber="1" containsInteger="1" minValue="153781069118" maxValue="21427700000000" count="39">
        <n v="153781069118"/>
        <n v="206928765544"/>
        <n v="246489245495"/>
        <n v="282318159745"/>
        <n v="303175127598"/>
        <n v="323802808108"/>
        <n v="348078018464"/>
        <n v="351431649241"/>
        <n v="364701517788"/>
        <n v="372062527489"/>
        <n v="376795508680"/>
        <n v="395098666122"/>
        <n v="403336363636"/>
        <n v="421142267938"/>
        <n v="446314739528"/>
        <n v="448120428859"/>
        <n v="529606710418"/>
        <n v="530832908738"/>
        <n v="543649976166"/>
        <n v="592164400688"/>
        <n v="703082435360"/>
        <n v="754411708203"/>
        <n v="909070395161"/>
        <n v="1119190780753"/>
        <n v="1258286717125"/>
        <n v="1392680589329"/>
        <n v="1394116310769"/>
        <n v="1699876578871"/>
        <n v="1736425629520"/>
        <n v="1839758040766"/>
        <n v="2001244392042"/>
        <n v="2029000000000"/>
        <n v="2611000000000"/>
        <n v="2715518274227"/>
        <n v="2827113184696"/>
        <n v="3845630030824"/>
        <n v="5081769542380"/>
        <n v="19910000000000"/>
        <n v="21427700000000"/>
      </sharedItems>
    </cacheField>
    <cacheField name="EXPECTATIVA DE VIDA" numFmtId="0">
      <sharedItems containsSemiMixedTypes="0" containsString="0" containsNumber="1" minValue="54.3" maxValue="84.2" count="35">
        <n v="54.3"/>
        <n v="63.9"/>
        <n v="69.4"/>
        <n v="71.1"/>
        <n v="71.5"/>
        <n v="71.6"/>
        <n v="71.8"/>
        <n v="72.7"/>
        <n v="75"/>
        <n v="75.7"/>
        <n v="76"/>
        <n v="76.9"/>
        <n v="77"/>
        <n v="77.1"/>
        <n v="77.4"/>
        <n v="77.6"/>
        <n v="77.8"/>
        <n v="78.5"/>
        <n v="79"/>
        <n v="80"/>
        <n v="80.9"/>
        <n v="81"/>
        <n v="81.3"/>
        <n v="81.6"/>
        <n v="81.8"/>
        <n v="81.9"/>
        <n v="82.5"/>
        <n v="82.6"/>
        <n v="82.7"/>
        <n v="82.8"/>
        <n v="82.9"/>
        <n v="83.1"/>
        <n v="83.3"/>
        <n v="83.6"/>
        <n v="84.2"/>
      </sharedItems>
    </cacheField>
    <cacheField name="RECEITA FISCAL" numFmtId="0">
      <sharedItems containsSemiMixedTypes="0" containsString="0" containsNumber="1" minValue="0.1" maxValue="32.4" count="35">
        <n v="0.1"/>
        <n v="1.5"/>
        <n v="9.4"/>
        <n v="9.6"/>
        <n v="10.1"/>
        <n v="10.2"/>
        <n v="11.2"/>
        <n v="11.4"/>
        <n v="11.5"/>
        <n v="11.9"/>
        <n v="12"/>
        <n v="12.5"/>
        <n v="12.8"/>
        <n v="13.1"/>
        <n v="14"/>
        <n v="14.2"/>
        <n v="14.4"/>
        <n v="14.9"/>
        <n v="15.6"/>
        <n v="17.4"/>
        <n v="17.9"/>
        <n v="18.2"/>
        <n v="20.1"/>
        <n v="23"/>
        <n v="23.1"/>
        <n v="23.9"/>
        <n v="24"/>
        <n v="24.2"/>
        <n v="24.3"/>
        <n v="25.4"/>
        <n v="25.5"/>
        <n v="27.5"/>
        <n v="27.9"/>
        <n v="29"/>
        <n v="32.4"/>
      </sharedItems>
    </cacheField>
    <cacheField name="TAXA DE IMPOSTO TOTAL DO PAÍS" numFmtId="0">
      <sharedItems containsSemiMixedTypes="0" containsString="0" containsNumber="1" minValue="15.9" maxValue="71.2" count="39">
        <n v="15.9"/>
        <n v="21"/>
        <n v="23.8"/>
        <n v="24.5"/>
        <n v="25.3"/>
        <n v="28.8"/>
        <n v="29.2"/>
        <n v="29.5"/>
        <n v="30.1"/>
        <n v="30.6"/>
        <n v="33.2"/>
        <n v="34"/>
        <n v="34.6"/>
        <n v="34.8"/>
        <n v="36.2"/>
        <n v="36.6"/>
        <n v="38.7"/>
        <n v="40.8"/>
        <n v="41.2"/>
        <n v="42.3"/>
        <n v="43.1"/>
        <n v="44.4"/>
        <n v="45.2"/>
        <n v="46.1"/>
        <n v="46.2"/>
        <n v="46.7"/>
        <n v="47"/>
        <n v="47.4"/>
        <n v="48.8"/>
        <n v="49.1"/>
        <n v="49.7"/>
        <n v="51.4"/>
        <n v="55.1"/>
        <n v="55.4"/>
        <n v="59.1"/>
        <n v="59.2"/>
        <n v="60.7"/>
        <n v="65.1"/>
        <n v="71.2"/>
      </sharedItems>
    </cacheField>
    <cacheField name="POPULAÇÃO DO PAÍS" numFmtId="0">
      <sharedItems containsSemiMixedTypes="0" containsString="0" containsNumber="1" containsInteger="1" minValue="4841000" maxValue="1397715000" count="39">
        <n v="4841000"/>
        <n v="5347896"/>
        <n v="5703569"/>
        <n v="5818553"/>
        <n v="8574832"/>
        <n v="8877067"/>
        <n v="9053300"/>
        <n v="9770529"/>
        <n v="10285453"/>
        <n v="10669709"/>
        <n v="11484055"/>
        <n v="17332850"/>
        <n v="18952038"/>
        <n v="25766605"/>
        <n v="32447385"/>
        <n v="36991981"/>
        <n v="37970874"/>
        <n v="44385155"/>
        <n v="47076781"/>
        <n v="50339443"/>
        <n v="51709098"/>
        <n v="58558270"/>
        <n v="60297396"/>
        <n v="66834405"/>
        <n v="67059887"/>
        <n v="69625582"/>
        <n v="83132799"/>
        <n v="83429615"/>
        <n v="100388073"/>
        <n v="108116615"/>
        <n v="126014024"/>
        <n v="126226568"/>
        <n v="144373535"/>
        <n v="200963599"/>
        <n v="212559417"/>
        <n v="270203917"/>
        <n v="328239523"/>
        <n v="1366417754"/>
        <n v="1397715000"/>
      </sharedItems>
    </cacheField>
    <cacheField name="IDADE ATUAL" numFmtId="0">
      <sharedItems containsSemiMixedTypes="0" containsString="0" containsNumber="1" minValue="33.705021902378" maxValue="99.5160748170236" count="445">
        <n v="33.705021902378"/>
        <n v="35.4585614917863"/>
        <n v="37.362793962794"/>
        <n v="39.3380968280467"/>
        <n v="40.6529335071708"/>
        <n v="41.2779192665223"/>
        <n v="41.6639500827709"/>
        <n v="41.6858525404304"/>
        <n v="42.0527187062269"/>
        <n v="42.611909650924"/>
        <n v="42.6776180698152"/>
        <n v="43.2203699196885"/>
        <n v="43.8144925772694"/>
        <n v="43.8418715015819"/>
        <n v="44.316171656449"/>
        <n v="44.3955716921612"/>
        <n v="44.4174751502887"/>
        <n v="44.4339027438843"/>
        <n v="45.4750393196249"/>
        <n v="45.9651074736413"/>
        <n v="46.0390283683812"/>
        <n v="46.0944558521561"/>
        <n v="46.17659137577"/>
        <n v="46.92128678987"/>
        <n v="47.0527036276523"/>
        <n v="47.866513940884"/>
        <n v="48.3627204030227"/>
        <n v="49.9048743826498"/>
        <n v="50.0362894567318"/>
        <n v="50.0527163409921"/>
        <n v="50.2642026009583"/>
        <n v="50.5352498288843"/>
        <n v="50.5845311430527"/>
        <n v="51.8665151358611"/>
        <n v="52.3353445216245"/>
        <n v="52.4174821274654"/>
        <n v="52.8226943162805"/>
        <n v="52.9678040865994"/>
        <n v="53.2094678679875"/>
        <n v="53.3490965204839"/>
        <n v="53.4996764398427"/>
        <n v="53.8692816964508"/>
        <n v="54.052715416397"/>
        <n v="54.217659137577"/>
        <n v="54.2203969883641"/>
        <n v="54.2286105407255"/>
        <n v="54.3052703627652"/>
        <n v="54.4476386036961"/>
        <n v="54.5653661875428"/>
        <n v="54.7488021902806"/>
        <n v="55.0527036276523"/>
        <n v="55.1382391085067"/>
        <n v="55.3052500120083"/>
        <n v="55.32715308132"/>
        <n v="55.3408424996398"/>
        <n v="55.5571353090927"/>
        <n v="55.7898554205293"/>
        <n v="55.885681348768"/>
        <n v="56.0472164849416"/>
        <n v="56.0834592145015"/>
        <n v="56.0971487915408"/>
        <n v="56.4421261329305"/>
        <n v="56.8528134441088"/>
        <n v="57.0526812688822"/>
        <n v="57.1738747099768"/>
        <n v="57.264222737819"/>
        <n v="57.3408816705336"/>
        <n v="57.4914617169374"/>
        <n v="57.5325290023202"/>
        <n v="57.5763341067285"/>
        <n v="57.8419025522042"/>
        <n v="57.8884454756381"/>
        <n v="57.9678422273782"/>
        <n v="58.0527146171694"/>
        <n v="58.3189596167009"/>
        <n v="58.3463381245722"/>
        <n v="58.4065708418891"/>
        <n v="58.5407255304586"/>
        <n v="58.54893908282"/>
        <n v="58.5845311430527"/>
        <n v="58.6036960985626"/>
        <n v="58.6255989048597"/>
        <n v="58.6283367556468"/>
        <n v="58.6338124572211"/>
        <n v="59.0527036276523"/>
        <n v="59.2340664272891"/>
        <n v="59.2422800718133"/>
        <n v="59.3326301615799"/>
        <n v="59.4421454219031"/>
        <n v="59.7022441651706"/>
        <n v="59.8610412926391"/>
        <n v="59.9048473967684"/>
        <n v="59.9294883303411"/>
        <n v="59.9732944344704"/>
        <n v="60.318922499448"/>
        <n v="60.3298741444027"/>
        <n v="60.3873702804151"/>
        <n v="60.527003753588"/>
        <n v="60.7186575402959"/>
        <n v="60.7624641201148"/>
        <n v="60.7980569662177"/>
        <n v="60.8117465224111"/>
        <n v="60.8966217708103"/>
        <n v="60.9075734157651"/>
        <n v="61.0526827114153"/>
        <n v="61.0588848811438"/>
        <n v="61.0999521967755"/>
        <n v="61.1711355438703"/>
        <n v="61.2532701751336"/>
        <n v="61.3189778801443"/>
        <n v="61.3271913432706"/>
        <n v="61.3299291643127"/>
        <n v="61.3600451957759"/>
        <n v="61.3709964799444"/>
        <n v="61.4312285428708"/>
        <n v="61.4695580374603"/>
        <n v="61.4722958585025"/>
        <n v="61.4805093216288"/>
        <n v="61.683108078745"/>
        <n v="61.7488157837556"/>
        <n v="61.8035722045978"/>
        <n v="61.8610664464821"/>
        <n v="61.8665420885663"/>
        <n v="61.8884446569032"/>
        <n v="62.0225978879666"/>
        <n v="62.0527139194298"/>
        <n v="62.1273100616016"/>
        <n v="62.2067077344285"/>
        <n v="62.2203969883641"/>
        <n v="62.3052703627652"/>
        <n v="62.5242984257358"/>
        <n v="62.6392881587953"/>
        <n v="62.7077344284737"/>
        <n v="62.7214236824093"/>
        <n v="62.9240246406571"/>
        <n v="63.0527036276523"/>
        <n v="63.0643191103997"/>
        <n v="63.1382418600733"/>
        <n v="63.2669222020976"/>
        <n v="63.3189419148309"/>
        <n v="63.4229813402974"/>
        <n v="63.4722631734131"/>
        <n v="63.5297586453814"/>
        <n v="63.5763025988796"/>
        <n v="63.6666526262584"/>
        <n v="63.7323617370793"/>
        <n v="63.7761678109599"/>
        <n v="64.0088875784508"/>
        <n v="64.0889405127354"/>
        <n v="64.1738156475566"/>
        <n v="64.1792914627064"/>
        <n v="64.1929810005808"/>
        <n v="64.2422633369286"/>
        <n v="64.3983240686966"/>
        <n v="64.5187920019912"/>
        <n v="64.5270057247158"/>
        <n v="64.5790259686385"/>
        <n v="64.746038330706"/>
        <n v="65.0034016427446"/>
        <n v="65.0472081639426"/>
        <n v="65.0526839790923"/>
        <n v="65.272433801896"/>
        <n v="65.4613435763321"/>
        <n v="65.4695570447859"/>
        <n v="65.6639424648578"/>
        <n v="65.7761932003923"/>
        <n v="65.7789310232102"/>
        <n v="65.8254740111148"/>
        <n v="65.882968290291"/>
        <n v="66.0527133050016"/>
        <n v="66.2861054072553"/>
        <n v="66.403832991102"/>
        <n v="66.8528405201917"/>
        <n v="66.880219028063"/>
        <n v="66.9158110882957"/>
        <n v="66.984257357974"/>
        <n v="67.0362765229295"/>
        <n v="67.0527036276523"/>
        <n v="67.3873898896913"/>
        <n v="67.5133322752163"/>
        <n v="68.0362669629395"/>
        <n v="68.0526942306166"/>
        <n v="68.1546524817147"/>
        <n v="68.2450033245981"/>
        <n v="68.3599953064497"/>
        <n v="68.4448703406735"/>
        <n v="68.5489107052059"/>
        <n v="68.5735518441741"/>
        <n v="68.6091446004615"/>
        <n v="68.6392615480893"/>
        <n v="68.7569914342707"/>
        <n v="68.7706809559197"/>
        <n v="68.7761567645793"/>
        <n v="68.7816325732389"/>
        <n v="68.822701138186"/>
        <n v="68.8747213204522"/>
        <n v="69.014354441272"/>
        <n v="69.0362576759104"/>
        <n v="69.0972120464273"/>
        <n v="69.099949870821"/>
        <n v="69.4147996760884"/>
        <n v="69.5544287201635"/>
        <n v="69.6091852080361"/>
        <n v="69.6365634519724"/>
        <n v="69.7050090618131"/>
        <n v="69.7926194424093"/>
        <n v="69.8254733351328"/>
        <n v="69.8884432961863"/>
        <n v="70.0034319207188"/>
        <n v="70.0944558521561"/>
        <n v="70.1300479123888"/>
        <n v="70.1820670773443"/>
        <n v="70.2313483915127"/>
        <n v="70.2559890485969"/>
        <n v="70.3025325119781"/>
        <n v="70.3052703627652"/>
        <n v="70.3080082135524"/>
        <n v="70.3463381245722"/>
        <n v="70.444900752909"/>
        <n v="70.6255989048597"/>
        <n v="70.735112936345"/>
        <n v="70.8062970568104"/>
        <n v="70.8911704312115"/>
        <n v="70.9295003422314"/>
        <n v="71.047227926078"/>
        <n v="71.0527036276523"/>
        <n v="71.1136031204291"/>
        <n v="71.1382440085512"/>
        <n v="71.1464576379252"/>
        <n v="71.30525447249"/>
        <n v="71.313468101864"/>
        <n v="71.3353711135281"/>
        <n v="71.5598769830852"/>
        <n v="71.724149570566"/>
        <n v="71.7487904586881"/>
        <n v="71.945917563665"/>
        <n v="72.0615657836318"/>
        <n v="72.2367914755069"/>
        <n v="72.2860737013468"/>
        <n v="72.3189285185733"/>
        <n v="72.3682107444132"/>
        <n v="72.5324848305461"/>
        <n v="72.5406985348528"/>
        <n v="72.6036702678704"/>
        <n v="72.7296137339056"/>
        <n v="72.8911499186029"/>
        <n v="73.0526861033003"/>
        <n v="73.1410162809374"/>
        <n v="73.1957727969628"/>
        <n v="73.2943345258086"/>
        <n v="73.3846827772505"/>
        <n v="73.4421771190772"/>
        <n v="73.4777688544937"/>
        <n v="73.4887201576988"/>
        <n v="73.622873621961"/>
        <n v="73.8035701248449"/>
        <n v="73.8993940278893"/>
        <n v="74.0527122727605"/>
        <n v="74.2751540041068"/>
        <n v="74.2861054072553"/>
        <n v="74.3874058863792"/>
        <n v="74.4229979466119"/>
        <n v="74.4613278576318"/>
        <n v="74.4750171115674"/>
        <n v="74.5544147843943"/>
        <n v="74.5626283367557"/>
        <n v="74.6858316221766"/>
        <n v="74.8090349075975"/>
        <n v="74.8145106091718"/>
        <n v="74.8199863107461"/>
        <n v="75.0308008213552"/>
        <n v="75.0527036276523"/>
        <n v="75.1437206656237"/>
        <n v="75.2258569193571"/>
        <n v="75.3873915516996"/>
        <n v="75.5105959322998"/>
        <n v="75.6009458114066"/>
        <n v="75.6255866875267"/>
        <n v="75.6392760631489"/>
        <n v="75.6693926895179"/>
        <n v="75.8391409472337"/>
        <n v="75.8665196984782"/>
        <n v="75.9267529512161"/>
        <n v="76.0526952069407"/>
        <n v="76.1053740040016"/>
        <n v="76.1546561830882"/>
        <n v="76.2888132261575"/>
        <n v="76.4530871564464"/>
        <n v="76.5626031099723"/>
        <n v="76.6994980518797"/>
        <n v="76.8801993751975"/>
        <n v="76.9212678577697"/>
        <n v="76.9486468461512"/>
        <n v="76.9513847449893"/>
        <n v="77.0280459124574"/>
        <n v="77.0889967076763"/>
        <n v="77.2696932940565"/>
        <n v="77.3052850459193"/>
        <n v="77.3956333391093"/>
        <n v="77.6201351585514"/>
        <n v="77.6365621209496"/>
        <n v="77.7597643389361"/>
        <n v="77.8391613238607"/>
        <n v="78.0527118350373"/>
        <n v="78.0670773442847"/>
        <n v="78.1437371663244"/>
        <n v="78.2395619438741"/>
        <n v="78.2970568104038"/>
        <n v="78.4804928131417"/>
        <n v="78.6858316221766"/>
        <n v="78.7214236824093"/>
        <n v="78.8884325804244"/>
        <n v="78.9322381930185"/>
        <n v="79.047227926078"/>
        <n v="79.4339361162751"/>
        <n v="79.5489268210242"/>
        <n v="79.956870035491"/>
        <n v="80.0526956227818"/>
        <n v="80.0944240400668"/>
        <n v="80.1108514190317"/>
        <n v="80.2450083472454"/>
        <n v="80.2806010016695"/>
        <n v="80.3052420701169"/>
        <n v="80.4941569282137"/>
        <n v="80.4968948247079"/>
        <n v="80.5105843071786"/>
        <n v="80.6146243739566"/>
        <n v="80.6201001669449"/>
        <n v="80.6365275459098"/>
        <n v="80.6666444073456"/>
        <n v="80.8227045075125"/>
        <n v="80.9021035058431"/>
        <n v="80.9678130217028"/>
        <n v="81.022570951586"/>
        <n v="81.231362976646"/>
        <n v="81.2532656023222"/>
        <n v="81.3052843383032"/>
        <n v="81.3901570127985"/>
        <n v="81.4120596384747"/>
        <n v="81.4257487795224"/>
        <n v="81.6885802876369"/>
        <n v="81.7186963979417"/>
        <n v="81.9979548753134"/>
        <n v="82.0390222984563"/>
        <n v="82.3134839151266"/>
        <n v="82.3518138261465"/>
        <n v="82.3737166324435"/>
        <n v="82.4722792607803"/>
        <n v="82.6064339493498"/>
        <n v="82.776180698152"/>
        <n v="82.7926078028747"/>
        <n v="82.839151266256"/>
        <n v="82.9130732375086"/>
        <n v="82.9760438056126"/>
        <n v="83.0390143737166"/>
        <n v="83.0499657768652"/>
        <n v="83.0527036276523"/>
        <n v="83.149197964311"/>
        <n v="83.2422856406623"/>
        <n v="83.2724022418347"/>
        <n v="83.3162082071764"/>
        <n v="83.3353733170135"/>
        <n v="83.4448882303678"/>
        <n v="83.480480577208"/>
        <n v="83.7679572247633"/>
        <n v="83.8802100109515"/>
        <n v="83.9322295947948"/>
        <n v="84.140969723982"/>
        <n v="84.1875139282417"/>
        <n v="84.4421381044857"/>
        <n v="84.6283149215243"/>
        <n v="84.6310528158925"/>
        <n v="84.674859125784"/>
        <n v="84.6967622807297"/>
        <n v="84.7569959568304"/>
        <n v="84.8747254146637"/>
        <n v="85.0526885485976"/>
        <n v="85.3299241589829"/>
        <n v="85.5653774742738"/>
        <n v="85.6967932781572"/>
        <n v="85.9787896906568"/>
        <n v="85.9952166661422"/>
        <n v="86.0643394934976"/>
        <n v="86.2696783025325"/>
        <n v="86.280629705681"/>
        <n v="86.3025325119781"/>
        <n v="86.3244353182752"/>
        <n v="86.403832991102"/>
        <n v="86.6639288158795"/>
        <n v="86.757015742642"/>
        <n v="87.0725382225367"/>
        <n v="87.3873934844803"/>
        <n v="87.44215092134"/>
        <n v="87.7405789522257"/>
        <n v="87.8172393638293"/>
        <n v="87.8719968006891"/>
        <n v="87.885686159904"/>
        <n v="87.9048512628049"/>
        <n v="87.9623465715077"/>
        <n v="88.0225797520534"/>
        <n v="88.0526963423263"/>
        <n v="88.3682161109759"/>
        <n v="88.4804697006571"/>
        <n v="88.5954611827695"/>
        <n v="88.6365295692383"/>
        <n v="88.6858116330007"/>
        <n v="89.0725675431735"/>
        <n v="89.3080209398881"/>
        <n v="89.414796317468"/>
        <n v="89.8145195258439"/>
        <n v="89.9267705638125"/>
        <n v="90.0527107527529"/>
        <n v="90.2203969883641"/>
        <n v="90.2669404517454"/>
        <n v="90.3463381245722"/>
        <n v="90.7542778918549"/>
        <n v="91.2176460197833"/>
        <n v="91.3490638247763"/>
        <n v="91.4859573716439"/>
        <n v="91.5297633066415"/>
        <n v="92.0526966556759"/>
        <n v="92.3381003699065"/>
        <n v="92.4695191215449"/>
        <n v="92.8418722511869"/>
        <n v="92.885678501733"/>
        <n v="92.9815046748027"/>
        <n v="93.6940545837056"/>
        <n v="94.4339493497604"/>
        <n v="94.6392881587954"/>
        <n v="94.8637919233402"/>
        <n v="95.2477631318976"/>
        <n v="95.3928702475373"/>
        <n v="95.4421519094527"/>
        <n v="95.8062886336052"/>
        <n v="95.8966383471168"/>
        <n v="96.0526969431821"/>
        <n v="96.4613063641951"/>
        <n v="96.694026931888"/>
        <n v="96.7816393809018"/>
        <n v="97.0280493937531"/>
        <n v="97.0472146169749"/>
        <n v="97.3025442477876"/>
        <n v="97.836421460177"/>
        <n v="98.5681040383299"/>
        <n v="99.5160748170236"/>
      </sharedItems>
    </cacheField>
    <cacheField name="LANÇAMENTO" numFmtId="0">
      <sharedItems containsSemiMixedTypes="0" containsNonDate="0" containsDate="1" containsString="0" minDate="1926-07-16T00:00:00" maxDate="1992-05-07T00:00:00" count="445">
        <d v="1926-07-16T00:00:00"/>
        <d v="1927-06-27T00:00:00"/>
        <d v="1928-03-20T00:00:00"/>
        <d v="1928-10-01T00:00:00"/>
        <d v="1929-01-03T00:00:00"/>
        <d v="1929-01-10T00:00:00"/>
        <d v="1929-04-10T00:00:00"/>
        <d v="1929-05-12T00:00:00"/>
        <d v="1929-08-05T00:00:00"/>
        <d v="1930-01-01T00:00:00"/>
        <d v="1930-02-27T00:00:00"/>
        <d v="1930-04-01T00:00:00"/>
        <d v="1930-08-12T00:00:00"/>
        <d v="1930-08-30T00:00:00"/>
        <d v="1930-10-22T00:00:00"/>
        <d v="1931-03-11T00:00:00"/>
        <d v="1931-06-01T00:00:00"/>
        <d v="1931-08-15T00:00:00"/>
        <d v="1932-05-11T00:00:00"/>
        <d v="1933-01-27T00:00:00"/>
        <d v="1933-03-03T00:00:00"/>
        <d v="1933-03-19T00:00:00"/>
        <d v="1933-08-02T00:00:00"/>
        <d v="1933-09-19T00:00:00"/>
        <d v="1934-01-01T00:00:00"/>
        <d v="1934-07-11T00:00:00"/>
        <d v="1934-07-27T00:00:00"/>
        <d v="1934-09-15T00:00:00"/>
        <d v="1934-11-02T00:00:00"/>
        <d v="1935-04-20T00:00:00"/>
        <d v="1935-09-16T00:00:00"/>
        <d v="1935-10-15T00:00:00"/>
        <d v="1935-11-01T00:00:00"/>
        <d v="1936-01-01T00:00:00"/>
        <d v="1936-02-16T00:00:00"/>
        <d v="1936-03-28T00:00:00"/>
        <d v="1936-08-21T00:00:00"/>
        <d v="1936-09-29T00:00:00"/>
        <d v="1936-12-24T00:00:00"/>
        <d v="1937-05-15T00:00:00"/>
        <d v="1937-06-02T00:00:00"/>
        <d v="1937-06-17T00:00:00"/>
        <d v="1937-07-29T00:00:00"/>
        <d v="1937-09-08T00:00:00"/>
        <d v="1938-01-01T00:00:00"/>
        <d v="1938-01-12T00:00:00"/>
        <d v="1938-02-03T00:00:00"/>
        <d v="1938-02-24T00:00:00"/>
        <d v="1938-03-03T00:00:00"/>
        <d v="1938-03-08T00:00:00"/>
        <d v="1938-03-28T00:00:00"/>
        <d v="1938-04-25T00:00:00"/>
        <d v="1938-08-12T00:00:00"/>
        <d v="1938-09-01T00:00:00"/>
        <d v="1938-12-25T00:00:00"/>
        <d v="1939-04-19T00:00:00"/>
        <d v="1939-05-23T00:00:00"/>
        <d v="1939-08-26T00:00:00"/>
        <d v="1939-09-24T00:00:00"/>
        <d v="1939-10-02T00:00:00"/>
        <d v="1939-10-10T00:00:00"/>
        <d v="1939-10-14T00:00:00"/>
        <d v="1939-12-28T00:00:00"/>
        <d v="1940-01-22T00:00:00"/>
        <d v="1940-01-28T00:00:00"/>
        <d v="1940-05-10T00:00:00"/>
        <d v="1940-06-27T00:00:00"/>
        <d v="1940-09-21T00:00:00"/>
        <d v="1941-01-01T00:00:00"/>
        <d v="1941-03-07T00:00:00"/>
        <d v="1941-04-19T00:00:00"/>
        <d v="1941-05-11T00:00:00"/>
        <d v="1941-05-19T00:00:00"/>
        <d v="1941-06-04T00:00:00"/>
        <d v="1941-06-05T00:00:00"/>
        <d v="1941-08-12T00:00:00"/>
        <d v="1941-11-13T00:00:00"/>
        <d v="1941-11-30T00:00:00"/>
        <d v="1942-02-14T00:00:00"/>
        <d v="1942-03-05T00:00:00"/>
        <d v="1942-04-15T00:00:00"/>
        <d v="1942-07-29T00:00:00"/>
        <d v="1942-08-11T00:00:00"/>
        <d v="1942-09-20T00:00:00"/>
        <d v="1942-09-27T00:00:00"/>
        <d v="1942-10-13T00:00:00"/>
        <d v="1942-10-24T00:00:00"/>
        <d v="1942-11-27T00:00:00"/>
        <d v="1943-01-01T00:00:00"/>
        <d v="1943-01-02T00:00:00"/>
        <d v="1943-01-06T00:00:00"/>
        <d v="1943-01-29T00:00:00"/>
        <d v="1943-02-21T00:00:00"/>
        <d v="1943-03-20T00:00:00"/>
        <d v="1943-04-06T00:00:00"/>
        <d v="1943-04-12T00:00:00"/>
        <d v="1943-06-13T00:00:00"/>
        <d v="1943-08-01T00:00:00"/>
        <d v="1943-09-06T00:00:00"/>
        <d v="1943-09-14T00:00:00"/>
        <d v="1943-09-28T00:00:00"/>
        <d v="1944-01-06T00:00:00"/>
        <d v="1944-01-21T00:00:00"/>
        <d v="1944-05-02T00:00:00"/>
        <d v="1944-05-13T00:00:00"/>
        <d v="1944-08-17T00:00:00"/>
        <d v="1944-08-22T00:00:00"/>
        <d v="1944-08-30T00:00:00"/>
        <d v="1944-09-30T00:00:00"/>
        <d v="1944-10-19T00:00:00"/>
        <d v="1944-10-27T00:00:00"/>
        <d v="1945-01-12T00:00:00"/>
        <d v="1945-02-01T00:00:00"/>
        <d v="1945-02-25T00:00:00"/>
        <d v="1945-03-26T00:00:00"/>
        <d v="1945-05-22T00:00:00"/>
        <d v="1945-06-02T00:00:00"/>
        <d v="1945-06-08T00:00:00"/>
        <d v="1945-06-10T00:00:00"/>
        <d v="1945-07-18T00:00:00"/>
        <d v="1945-07-23T00:00:00"/>
        <d v="1945-07-24T00:00:00"/>
        <d v="1945-10-01T00:00:00"/>
        <d v="1945-10-10T00:00:00"/>
        <d v="1945-10-23T00:00:00"/>
        <d v="1945-12-11T00:00:00"/>
        <d v="1945-12-17T00:00:00"/>
        <d v="1946-01-01T00:00:00"/>
        <d v="1946-02-05T00:00:00"/>
        <d v="1946-07-04T00:00:00"/>
        <d v="1946-08-15T00:00:00"/>
        <d v="1947-01-03T00:00:00"/>
        <d v="1947-02-14T00:00:00"/>
        <d v="1947-03-02T00:00:00"/>
        <d v="1947-05-02T00:00:00"/>
        <d v="1947-05-15T00:00:00"/>
        <d v="1947-07-29T00:00:00"/>
        <d v="1947-10-04T00:00:00"/>
        <d v="1947-10-25T00:00:00"/>
        <d v="1947-11-29T00:00:00"/>
        <d v="1947-12-27T00:00:00"/>
        <d v="1948-01-01T00:00:00"/>
        <d v="1948-03-19T00:00:00"/>
        <d v="1948-04-17T00:00:00"/>
        <d v="1948-06-01T00:00:00"/>
        <d v="1948-06-07T00:00:00"/>
        <d v="1948-08-28T00:00:00"/>
        <d v="1948-09-30T00:00:00"/>
        <d v="1948-10-13T00:00:00"/>
        <d v="1948-12-18T00:00:00"/>
        <d v="1949-01-10T00:00:00"/>
        <d v="1949-02-07T00:00:00"/>
        <d v="1949-02-08T00:00:00"/>
        <d v="1949-02-18T00:00:00"/>
        <d v="1949-03-05T00:00:00"/>
        <d v="1949-05-10T00:00:00"/>
        <d v="1949-06-29T00:00:00"/>
        <d v="1949-08-08T00:00:00"/>
        <d v="1949-10-07T00:00:00"/>
        <d v="1949-11-25T00:00:00"/>
        <d v="1949-12-13T00:00:00"/>
        <d v="1950-01-01T00:00:00"/>
        <d v="1950-02-16T00:00:00"/>
        <d v="1950-03-10T00:00:00"/>
        <d v="1950-03-20T00:00:00"/>
        <d v="1950-05-21T00:00:00"/>
        <d v="1950-06-01T00:00:00"/>
        <d v="1950-06-06T00:00:00"/>
        <d v="1950-06-15T00:00:00"/>
        <d v="1950-07-18T00:00:00"/>
        <d v="1950-09-01T00:00:00"/>
        <d v="1950-10-30T00:00:00"/>
        <d v="1950-11-29T00:00:00"/>
        <d v="1951-01-01T00:00:00"/>
        <d v="1951-01-09T00:00:00"/>
        <d v="1951-03-27T00:00:00"/>
        <d v="1951-03-29T00:00:00"/>
        <d v="1951-03-31T00:00:00"/>
        <d v="1951-05-15T00:00:00"/>
        <d v="1951-06-29T00:00:00"/>
        <d v="1951-07-02T00:00:00"/>
        <d v="1951-07-31T00:00:00"/>
        <d v="1951-08-05T00:00:00"/>
        <d v="1951-08-19T00:00:00"/>
        <d v="1951-09-01T00:00:00"/>
        <d v="1951-10-08T00:00:00"/>
        <d v="1951-10-12T00:00:00"/>
        <d v="1952-01-01T00:00:00"/>
        <d v="1952-02-26T00:00:00"/>
        <d v="1952-04-01T00:00:00"/>
        <d v="1952-06-06T00:00:00"/>
        <d v="1952-07-25T00:00:00"/>
        <d v="1952-07-29T00:00:00"/>
        <d v="1952-08-11T00:00:00"/>
        <d v="1952-09-01T00:00:00"/>
        <d v="1952-10-04T00:00:00"/>
        <d v="1952-11-09T00:00:00"/>
        <d v="1952-11-29T00:00:00"/>
        <d v="1953-01-01T00:00:00"/>
        <d v="1953-03-01T00:00:00"/>
        <d v="1953-04-29T00:00:00"/>
        <d v="1953-06-14T00:00:00"/>
        <d v="1953-07-07T00:00:00"/>
        <d v="1953-07-10T00:00:00"/>
        <d v="1953-09-08T00:00:00"/>
        <d v="1953-09-26T00:00:00"/>
        <d v="1953-10-08T00:00:00"/>
        <d v="1953-10-26T00:00:00"/>
        <d v="1953-12-29T00:00:00"/>
        <d v="1954-02-09T00:00:00"/>
        <d v="1954-04-22T00:00:00"/>
        <d v="1954-05-01T00:00:00"/>
        <d v="1954-06-30T00:00:00"/>
        <d v="1954-09-20T00:00:00"/>
        <d v="1954-09-28T00:00:00"/>
        <d v="1954-10-01T00:00:00"/>
        <d v="1954-11-28T00:00:00"/>
        <d v="1954-12-01T00:00:00"/>
        <d v="1954-12-10T00:00:00"/>
        <d v="1955-01-01T00:00:00"/>
        <d v="1955-01-03T00:00:00"/>
        <d v="1955-02-15T00:00:00"/>
        <d v="1955-03-01T00:00:00"/>
        <d v="1955-04-01T00:00:00"/>
        <d v="1955-04-27T00:00:00"/>
        <d v="1955-06-06T00:00:00"/>
        <d v="1955-08-11T00:00:00"/>
        <d v="1955-09-16T00:00:00"/>
        <d v="1955-09-30T00:00:00"/>
        <d v="1955-10-01T00:00:00"/>
        <d v="1955-10-02T00:00:00"/>
        <d v="1955-10-19T00:00:00"/>
        <d v="1955-10-28T00:00:00"/>
        <d v="1955-11-15T00:00:00"/>
        <d v="1955-12-04T00:00:00"/>
        <d v="1955-12-17T00:00:00"/>
        <d v="1956-01-19T00:00:00"/>
        <d v="1956-03-01T00:00:00"/>
        <d v="1956-03-24T00:00:00"/>
        <d v="1956-04-05T00:00:00"/>
        <d v="1956-05-07T00:00:00"/>
        <d v="1956-06-01T00:00:00"/>
        <d v="1956-06-11T00:00:00"/>
        <d v="1956-07-01T00:00:00"/>
        <d v="1956-08-21T00:00:00"/>
        <d v="1956-12-14T00:00:00"/>
        <d v="1956-12-15T00:00:00"/>
        <d v="1957-01-07T00:00:00"/>
        <d v="1957-01-15T00:00:00"/>
        <d v="1957-03-07T00:00:00"/>
        <d v="1957-03-26T00:00:00"/>
        <d v="1957-04-10T00:00:00"/>
        <d v="1957-04-12T00:00:00"/>
        <d v="1957-04-14T00:00:00"/>
        <d v="1957-04-19T00:00:00"/>
        <d v="1957-06-01T00:00:00"/>
        <d v="1957-06-12T00:00:00"/>
        <d v="1957-06-25T00:00:00"/>
        <d v="1957-07-04T00:00:00"/>
        <d v="1957-08-11T00:00:00"/>
        <d v="1957-09-11T00:00:00"/>
        <d v="1957-10-23T00:00:00"/>
        <d v="1957-11-25T00:00:00"/>
        <d v="1958-01-01T00:00:00"/>
        <d v="1958-01-07T00:00:00"/>
        <d v="1958-07-17T00:00:00"/>
        <d v="1958-09-01T00:00:00"/>
        <d v="1959-01-01T00:00:00"/>
        <d v="1959-01-07T00:00:00"/>
        <d v="1959-01-26T00:00:00"/>
        <d v="1959-02-20T00:00:00"/>
        <d v="1959-03-05T00:00:00"/>
        <d v="1959-03-15T00:00:00"/>
        <d v="1959-08-26T00:00:00"/>
        <d v="1959-10-08T00:00:00"/>
        <d v="1960-01-01T00:00:00"/>
        <d v="1960-03-03T00:00:00"/>
        <d v="1960-03-24T00:00:00"/>
        <d v="1960-04-10T00:00:00"/>
        <d v="1960-04-11T00:00:00"/>
        <d v="1960-05-22T00:00:00"/>
        <d v="1960-08-01T00:00:00"/>
        <d v="1960-08-04T00:00:00"/>
        <d v="1960-10-12T00:00:00"/>
        <d v="1961-01-01T00:00:00"/>
        <d v="1961-01-03T00:00:00"/>
        <d v="1961-01-19T00:00:00"/>
        <d v="1961-04-23T00:00:00"/>
        <d v="1961-06-23T00:00:00"/>
        <d v="1961-07-12T00:00:00"/>
        <d v="1961-07-15T00:00:00"/>
        <d v="1961-08-28T00:00:00"/>
        <d v="1961-10-24T00:00:00"/>
        <d v="1961-11-11T00:00:00"/>
        <d v="1961-11-16T00:00:00"/>
        <d v="1961-11-18T00:00:00"/>
        <d v="1961-12-19T00:00:00"/>
        <d v="1962-01-17T00:00:00"/>
        <d v="1962-04-12T00:00:00"/>
        <d v="1962-04-28T00:00:00"/>
        <d v="1962-05-22T00:00:00"/>
        <d v="1962-06-24T00:00:00"/>
        <d v="1962-07-11T00:00:00"/>
        <d v="1962-08-01T00:00:00"/>
        <d v="1962-08-19T00:00:00"/>
        <d v="1962-09-26T00:00:00"/>
        <d v="1962-10-15T00:00:00"/>
        <d v="1962-12-01T00:00:00"/>
        <d v="1962-12-28T00:00:00"/>
        <d v="1963-01-01T00:00:00"/>
        <d v="1963-02-17T00:00:00"/>
        <d v="1963-05-02T00:00:00"/>
        <d v="1963-05-07T00:00:00"/>
        <d v="1963-06-01T00:00:00"/>
        <d v="1963-07-13T00:00:00"/>
        <d v="1963-10-01T00:00:00"/>
        <d v="1963-11-01T00:00:00"/>
        <d v="1963-11-06T00:00:00"/>
        <d v="1963-12-05T00:00:00"/>
        <d v="1964-01-01T00:00:00"/>
        <d v="1964-01-12T00:00:00"/>
        <d v="1964-03-01T00:00:00"/>
        <d v="1964-03-09T00:00:00"/>
        <d v="1964-03-11T00:00:00"/>
        <d v="1964-04-01T00:00:00"/>
        <d v="1964-04-21T00:00:00"/>
        <d v="1964-05-15T00:00:00"/>
        <d v="1964-07-28T00:00:00"/>
        <d v="1964-07-31T00:00:00"/>
        <d v="1964-08-01T00:00:00"/>
        <d v="1964-08-15T00:00:00"/>
        <d v="1964-09-06T00:00:00"/>
        <d v="1964-09-10T00:00:00"/>
        <d v="1964-09-21T00:00:00"/>
        <d v="1964-09-22T00:00:00"/>
        <d v="1964-09-25T00:00:00"/>
        <d v="1964-10-19T00:00:00"/>
        <d v="1964-11-18T00:00:00"/>
        <d v="1964-12-14T00:00:00"/>
        <d v="1964-12-29T00:00:00"/>
        <d v="1965-01-01T00:00:00"/>
        <d v="1965-02-23T00:00:00"/>
        <d v="1965-02-27T00:00:00"/>
        <d v="1965-03-30T00:00:00"/>
        <d v="1965-04-04T00:00:00"/>
        <d v="1965-04-17T00:00:00"/>
        <d v="1965-05-03T00:00:00"/>
        <d v="1965-07-12T00:00:00"/>
        <d v="1965-09-01T00:00:00"/>
        <d v="1965-09-22T00:00:00"/>
        <d v="1965-09-26T00:00:00"/>
        <d v="1966-01-30T00:00:00"/>
        <d v="1966-02-15T00:00:00"/>
        <d v="1966-02-24T00:00:00"/>
        <d v="1966-03-12T00:00:00"/>
        <d v="1966-05-09T00:00:00"/>
        <d v="1966-08-12T00:00:00"/>
        <d v="1966-09-21T00:00:00"/>
        <d v="1966-10-24T00:00:00"/>
        <d v="1966-10-27T00:00:00"/>
        <d v="1967-01-01T00:00:00"/>
        <d v="1967-06-03T00:00:00"/>
        <d v="1967-06-05T00:00:00"/>
        <d v="1967-06-06T00:00:00"/>
        <d v="1967-06-14T00:00:00"/>
        <d v="1967-06-21T00:00:00"/>
        <d v="1967-07-04T00:00:00"/>
        <d v="1967-07-07T00:00:00"/>
        <d v="1967-08-25T00:00:00"/>
        <d v="1967-09-16T00:00:00"/>
        <d v="1967-09-26T00:00:00"/>
        <d v="1968-01-01T00:00:00"/>
        <d v="1968-02-01T00:00:00"/>
        <d v="1968-03-01T00:00:00"/>
        <d v="1968-03-18T00:00:00"/>
        <d v="1968-06-23T00:00:00"/>
        <d v="1968-07-09T00:00:00"/>
        <d v="1968-07-24T00:00:00"/>
        <d v="1968-09-17T00:00:00"/>
        <d v="1968-10-15T00:00:00"/>
        <d v="1968-11-17T00:00:00"/>
        <d v="1969-01-01T00:00:00"/>
        <d v="1969-03-15T00:00:00"/>
        <d v="1969-08-12T00:00:00"/>
        <d v="1969-12-16T00:00:00"/>
        <d v="1969-12-21T00:00:00"/>
        <d v="1970-01-03T00:00:00"/>
        <d v="1970-03-03T00:00:00"/>
        <d v="1970-04-07T00:00:00"/>
        <d v="1970-07-01T00:00:00"/>
        <d v="1970-09-18T00:00:00"/>
        <d v="1970-09-23T00:00:00"/>
        <d v="1970-10-01T00:00:00"/>
        <d v="1970-12-01T00:00:00"/>
        <d v="1971-01-01T00:00:00"/>
        <d v="1971-04-22T00:00:00"/>
        <d v="1971-06-28T00:00:00"/>
        <d v="1971-08-10T00:00:00"/>
        <d v="1971-10-01T00:00:00"/>
        <d v="1971-10-29T00:00:00"/>
        <d v="1971-11-01T00:00:00"/>
        <d v="1971-11-02T00:00:00"/>
        <d v="1972-01-01T00:00:00"/>
        <d v="1972-03-08T00:00:00"/>
        <d v="1972-07-21T00:00:00"/>
        <d v="1972-09-14T00:00:00"/>
        <d v="1972-11-04T00:00:00"/>
        <d v="1973-02-01T00:00:00"/>
        <d v="1973-03-26T00:00:00"/>
        <d v="1973-08-21T00:00:00"/>
        <d v="1973-09-20T00:00:00"/>
        <d v="1974-03-10T00:00:00"/>
        <d v="1975-06-21T00:00:00"/>
        <d v="1975-07-09T00:00:00"/>
        <d v="1975-10-16T00:00:00"/>
        <d v="1976-01-01T00:00:00"/>
        <d v="1976-01-07T00:00:00"/>
        <d v="1976-02-24T00:00:00"/>
        <d v="1977-09-10T00:00:00"/>
        <d v="1978-03-10T00:00:00"/>
        <d v="1979-01-01T00:00:00"/>
        <d v="1979-02-18T00:00:00"/>
        <d v="1979-11-17T00:00:00"/>
        <d v="1979-12-17T00:00:00"/>
        <d v="1980-01-06T00:00:00"/>
        <d v="1980-02-02T00:00:00"/>
        <d v="1980-07-30T00:00:00"/>
        <d v="1981-08-15T00:00:00"/>
        <d v="1981-08-21T00:00:00"/>
        <d v="1981-08-29T00:00:00"/>
        <d v="1981-09-27T00:00:00"/>
        <d v="1982-03-19T00:00:00"/>
        <d v="1982-03-29T00:00:00"/>
        <d v="1982-11-01T00:00:00"/>
        <d v="1983-05-18T00:00:00"/>
        <d v="1983-06-11T00:00:00"/>
        <d v="1984-01-01T00:00:00"/>
        <d v="1984-05-14T00:00:00"/>
        <d v="1984-05-22T00:00:00"/>
        <d v="1984-10-10T00:00:00"/>
        <d v="1985-05-27T00:00:00"/>
        <d v="1986-09-19T00:00:00"/>
        <d v="1988-09-09T00:00:00"/>
        <d v="1990-08-06T00:00:00"/>
        <d v="1992-05-07T00:00:00"/>
      </sharedItems>
    </cacheField>
    <cacheField name="DATA ATUAL" numFmtId="0">
      <sharedItems containsSemiMixedTypes="0" containsNonDate="0" containsDate="1" containsString="0" minDate="2026-01-20T00:00:00" maxDate="2026-01-20T00:00:00" count="1">
        <d v="2026-01-20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1">
  <r>
    <x v="0"/>
    <x v="4"/>
    <x v="38"/>
    <x v="11"/>
    <x v="157"/>
    <x v="123"/>
    <x v="4"/>
    <x v="0"/>
    <x v="1"/>
    <x v="15"/>
    <x v="28"/>
    <x v="170"/>
    <x v="23"/>
    <x v="2"/>
    <x v="4"/>
    <x v="3"/>
    <x v="33"/>
    <x v="26"/>
    <x v="27"/>
    <x v="36"/>
    <x v="24"/>
    <x v="290"/>
    <x v="154"/>
    <x v="0"/>
  </r>
  <r>
    <x v="1"/>
    <x v="0"/>
    <x v="106"/>
    <x v="38"/>
    <x v="10"/>
    <x v="221"/>
    <x v="0"/>
    <x v="1"/>
    <x v="1"/>
    <x v="230"/>
    <x v="70"/>
    <x v="169"/>
    <x v="45"/>
    <x v="5"/>
    <x v="27"/>
    <x v="19"/>
    <x v="38"/>
    <x v="17"/>
    <x v="3"/>
    <x v="15"/>
    <x v="36"/>
    <x v="48"/>
    <x v="396"/>
    <x v="0"/>
  </r>
  <r>
    <x v="2"/>
    <x v="16"/>
    <x v="178"/>
    <x v="38"/>
    <x v="120"/>
    <x v="7"/>
    <x v="16"/>
    <x v="1"/>
    <x v="1"/>
    <x v="31"/>
    <x v="133"/>
    <x v="168"/>
    <x v="38"/>
    <x v="0"/>
    <x v="11"/>
    <x v="19"/>
    <x v="38"/>
    <x v="17"/>
    <x v="3"/>
    <x v="15"/>
    <x v="36"/>
    <x v="124"/>
    <x v="320"/>
    <x v="0"/>
  </r>
  <r>
    <x v="3"/>
    <x v="16"/>
    <x v="228"/>
    <x v="38"/>
    <x v="101"/>
    <x v="162"/>
    <x v="16"/>
    <x v="1"/>
    <x v="1"/>
    <x v="93"/>
    <x v="172"/>
    <x v="167"/>
    <x v="18"/>
    <x v="7"/>
    <x v="16"/>
    <x v="19"/>
    <x v="38"/>
    <x v="17"/>
    <x v="3"/>
    <x v="15"/>
    <x v="36"/>
    <x v="339"/>
    <x v="105"/>
    <x v="0"/>
  </r>
  <r>
    <x v="4"/>
    <x v="5"/>
    <x v="451"/>
    <x v="38"/>
    <x v="151"/>
    <x v="22"/>
    <x v="5"/>
    <x v="1"/>
    <x v="1"/>
    <x v="50"/>
    <x v="334"/>
    <x v="166"/>
    <x v="4"/>
    <x v="7"/>
    <x v="29"/>
    <x v="19"/>
    <x v="38"/>
    <x v="17"/>
    <x v="3"/>
    <x v="15"/>
    <x v="36"/>
    <x v="431"/>
    <x v="13"/>
    <x v="0"/>
  </r>
  <r>
    <x v="5"/>
    <x v="16"/>
    <x v="40"/>
    <x v="38"/>
    <x v="120"/>
    <x v="138"/>
    <x v="16"/>
    <x v="1"/>
    <x v="1"/>
    <x v="113"/>
    <x v="29"/>
    <x v="165"/>
    <x v="29"/>
    <x v="9"/>
    <x v="27"/>
    <x v="19"/>
    <x v="38"/>
    <x v="17"/>
    <x v="3"/>
    <x v="15"/>
    <x v="36"/>
    <x v="212"/>
    <x v="232"/>
    <x v="0"/>
  </r>
  <r>
    <x v="5"/>
    <x v="16"/>
    <x v="40"/>
    <x v="38"/>
    <x v="120"/>
    <x v="138"/>
    <x v="16"/>
    <x v="1"/>
    <x v="1"/>
    <x v="113"/>
    <x v="29"/>
    <x v="165"/>
    <x v="29"/>
    <x v="9"/>
    <x v="27"/>
    <x v="19"/>
    <x v="38"/>
    <x v="17"/>
    <x v="3"/>
    <x v="15"/>
    <x v="36"/>
    <x v="212"/>
    <x v="232"/>
    <x v="0"/>
  </r>
  <r>
    <x v="6"/>
    <x v="11"/>
    <x v="284"/>
    <x v="38"/>
    <x v="143"/>
    <x v="28"/>
    <x v="11"/>
    <x v="1"/>
    <x v="1"/>
    <x v="39"/>
    <x v="209"/>
    <x v="164"/>
    <x v="16"/>
    <x v="1"/>
    <x v="13"/>
    <x v="19"/>
    <x v="38"/>
    <x v="17"/>
    <x v="3"/>
    <x v="15"/>
    <x v="36"/>
    <x v="366"/>
    <x v="78"/>
    <x v="0"/>
  </r>
  <r>
    <x v="7"/>
    <x v="17"/>
    <x v="51"/>
    <x v="19"/>
    <x v="122"/>
    <x v="218"/>
    <x v="17"/>
    <x v="1"/>
    <x v="1"/>
    <x v="329"/>
    <x v="35"/>
    <x v="163"/>
    <x v="14"/>
    <x v="0"/>
    <x v="27"/>
    <x v="29"/>
    <x v="24"/>
    <x v="8"/>
    <x v="13"/>
    <x v="32"/>
    <x v="30"/>
    <x v="380"/>
    <x v="64"/>
    <x v="0"/>
  </r>
  <r>
    <x v="8"/>
    <x v="2"/>
    <x v="304"/>
    <x v="13"/>
    <x v="135"/>
    <x v="60"/>
    <x v="2"/>
    <x v="0"/>
    <x v="1"/>
    <x v="8"/>
    <x v="218"/>
    <x v="162"/>
    <x v="31"/>
    <x v="3"/>
    <x v="18"/>
    <x v="33"/>
    <x v="32"/>
    <x v="2"/>
    <x v="6"/>
    <x v="30"/>
    <x v="37"/>
    <x v="190"/>
    <x v="254"/>
    <x v="0"/>
  </r>
  <r>
    <x v="9"/>
    <x v="16"/>
    <x v="400"/>
    <x v="38"/>
    <x v="83"/>
    <x v="138"/>
    <x v="16"/>
    <x v="1"/>
    <x v="1"/>
    <x v="19"/>
    <x v="301"/>
    <x v="161"/>
    <x v="30"/>
    <x v="2"/>
    <x v="23"/>
    <x v="19"/>
    <x v="38"/>
    <x v="17"/>
    <x v="3"/>
    <x v="15"/>
    <x v="36"/>
    <x v="206"/>
    <x v="238"/>
    <x v="0"/>
  </r>
  <r>
    <x v="10"/>
    <x v="4"/>
    <x v="116"/>
    <x v="11"/>
    <x v="157"/>
    <x v="119"/>
    <x v="4"/>
    <x v="0"/>
    <x v="0"/>
    <x v="30"/>
    <x v="79"/>
    <x v="160"/>
    <x v="27"/>
    <x v="6"/>
    <x v="9"/>
    <x v="3"/>
    <x v="33"/>
    <x v="26"/>
    <x v="27"/>
    <x v="36"/>
    <x v="24"/>
    <x v="241"/>
    <x v="203"/>
    <x v="0"/>
  </r>
  <r>
    <x v="11"/>
    <x v="16"/>
    <x v="229"/>
    <x v="38"/>
    <x v="156"/>
    <x v="91"/>
    <x v="16"/>
    <x v="1"/>
    <x v="1"/>
    <x v="244"/>
    <x v="172"/>
    <x v="159"/>
    <x v="47"/>
    <x v="2"/>
    <x v="25"/>
    <x v="19"/>
    <x v="38"/>
    <x v="17"/>
    <x v="3"/>
    <x v="15"/>
    <x v="36"/>
    <x v="36"/>
    <x v="408"/>
    <x v="0"/>
  </r>
  <r>
    <x v="12"/>
    <x v="4"/>
    <x v="12"/>
    <x v="30"/>
    <x v="99"/>
    <x v="235"/>
    <x v="4"/>
    <x v="1"/>
    <x v="1"/>
    <x v="240"/>
    <x v="9"/>
    <x v="158"/>
    <x v="10"/>
    <x v="2"/>
    <x v="27"/>
    <x v="7"/>
    <x v="26"/>
    <x v="32"/>
    <x v="15"/>
    <x v="26"/>
    <x v="18"/>
    <x v="409"/>
    <x v="35"/>
    <x v="0"/>
  </r>
  <r>
    <x v="13"/>
    <x v="16"/>
    <x v="382"/>
    <x v="38"/>
    <x v="110"/>
    <x v="91"/>
    <x v="16"/>
    <x v="1"/>
    <x v="1"/>
    <x v="47"/>
    <x v="280"/>
    <x v="157"/>
    <x v="47"/>
    <x v="7"/>
    <x v="20"/>
    <x v="19"/>
    <x v="38"/>
    <x v="17"/>
    <x v="3"/>
    <x v="15"/>
    <x v="36"/>
    <x v="35"/>
    <x v="409"/>
    <x v="0"/>
  </r>
  <r>
    <x v="14"/>
    <x v="6"/>
    <x v="473"/>
    <x v="6"/>
    <x v="69"/>
    <x v="24"/>
    <x v="6"/>
    <x v="1"/>
    <x v="1"/>
    <x v="390"/>
    <x v="283"/>
    <x v="156"/>
    <x v="28"/>
    <x v="11"/>
    <x v="0"/>
    <x v="25"/>
    <x v="37"/>
    <x v="12"/>
    <x v="2"/>
    <x v="35"/>
    <x v="38"/>
    <x v="227"/>
    <x v="217"/>
    <x v="0"/>
  </r>
  <r>
    <x v="15"/>
    <x v="16"/>
    <x v="276"/>
    <x v="38"/>
    <x v="156"/>
    <x v="70"/>
    <x v="16"/>
    <x v="1"/>
    <x v="1"/>
    <x v="393"/>
    <x v="201"/>
    <x v="155"/>
    <x v="58"/>
    <x v="4"/>
    <x v="13"/>
    <x v="19"/>
    <x v="38"/>
    <x v="17"/>
    <x v="3"/>
    <x v="15"/>
    <x v="36"/>
    <x v="7"/>
    <x v="437"/>
    <x v="0"/>
  </r>
  <r>
    <x v="16"/>
    <x v="2"/>
    <x v="56"/>
    <x v="38"/>
    <x v="212"/>
    <x v="118"/>
    <x v="2"/>
    <x v="0"/>
    <x v="1"/>
    <x v="165"/>
    <x v="40"/>
    <x v="154"/>
    <x v="9"/>
    <x v="10"/>
    <x v="0"/>
    <x v="19"/>
    <x v="38"/>
    <x v="17"/>
    <x v="3"/>
    <x v="15"/>
    <x v="36"/>
    <x v="412"/>
    <x v="32"/>
    <x v="0"/>
  </r>
  <r>
    <x v="16"/>
    <x v="2"/>
    <x v="214"/>
    <x v="38"/>
    <x v="143"/>
    <x v="118"/>
    <x v="2"/>
    <x v="0"/>
    <x v="0"/>
    <x v="165"/>
    <x v="154"/>
    <x v="154"/>
    <x v="36"/>
    <x v="3"/>
    <x v="11"/>
    <x v="19"/>
    <x v="38"/>
    <x v="17"/>
    <x v="3"/>
    <x v="15"/>
    <x v="36"/>
    <x v="146"/>
    <x v="298"/>
    <x v="0"/>
  </r>
  <r>
    <x v="17"/>
    <x v="4"/>
    <x v="190"/>
    <x v="38"/>
    <x v="17"/>
    <x v="231"/>
    <x v="4"/>
    <x v="0"/>
    <x v="1"/>
    <x v="367"/>
    <x v="143"/>
    <x v="153"/>
    <x v="22"/>
    <x v="5"/>
    <x v="6"/>
    <x v="19"/>
    <x v="38"/>
    <x v="17"/>
    <x v="3"/>
    <x v="15"/>
    <x v="36"/>
    <x v="299"/>
    <x v="145"/>
    <x v="0"/>
  </r>
  <r>
    <x v="18"/>
    <x v="4"/>
    <x v="358"/>
    <x v="38"/>
    <x v="17"/>
    <x v="231"/>
    <x v="4"/>
    <x v="0"/>
    <x v="1"/>
    <x v="367"/>
    <x v="265"/>
    <x v="152"/>
    <x v="18"/>
    <x v="9"/>
    <x v="26"/>
    <x v="19"/>
    <x v="38"/>
    <x v="17"/>
    <x v="3"/>
    <x v="15"/>
    <x v="36"/>
    <x v="334"/>
    <x v="110"/>
    <x v="0"/>
  </r>
  <r>
    <x v="19"/>
    <x v="4"/>
    <x v="10"/>
    <x v="38"/>
    <x v="54"/>
    <x v="231"/>
    <x v="4"/>
    <x v="0"/>
    <x v="0"/>
    <x v="367"/>
    <x v="7"/>
    <x v="151"/>
    <x v="23"/>
    <x v="9"/>
    <x v="6"/>
    <x v="19"/>
    <x v="38"/>
    <x v="17"/>
    <x v="3"/>
    <x v="15"/>
    <x v="36"/>
    <x v="286"/>
    <x v="158"/>
    <x v="0"/>
  </r>
  <r>
    <x v="20"/>
    <x v="11"/>
    <x v="84"/>
    <x v="4"/>
    <x v="204"/>
    <x v="128"/>
    <x v="11"/>
    <x v="0"/>
    <x v="1"/>
    <x v="353"/>
    <x v="53"/>
    <x v="150"/>
    <x v="31"/>
    <x v="5"/>
    <x v="11"/>
    <x v="17"/>
    <x v="28"/>
    <x v="25"/>
    <x v="12"/>
    <x v="3"/>
    <x v="15"/>
    <x v="188"/>
    <x v="256"/>
    <x v="0"/>
  </r>
  <r>
    <x v="21"/>
    <x v="16"/>
    <x v="285"/>
    <x v="38"/>
    <x v="10"/>
    <x v="57"/>
    <x v="16"/>
    <x v="1"/>
    <x v="1"/>
    <x v="84"/>
    <x v="209"/>
    <x v="149"/>
    <x v="39"/>
    <x v="1"/>
    <x v="22"/>
    <x v="19"/>
    <x v="38"/>
    <x v="17"/>
    <x v="3"/>
    <x v="15"/>
    <x v="36"/>
    <x v="103"/>
    <x v="341"/>
    <x v="0"/>
  </r>
  <r>
    <x v="22"/>
    <x v="2"/>
    <x v="124"/>
    <x v="13"/>
    <x v="4"/>
    <x v="108"/>
    <x v="2"/>
    <x v="1"/>
    <x v="1"/>
    <x v="2"/>
    <x v="86"/>
    <x v="148"/>
    <x v="36"/>
    <x v="5"/>
    <x v="23"/>
    <x v="33"/>
    <x v="32"/>
    <x v="2"/>
    <x v="6"/>
    <x v="30"/>
    <x v="37"/>
    <x v="143"/>
    <x v="301"/>
    <x v="0"/>
  </r>
  <r>
    <x v="23"/>
    <x v="4"/>
    <x v="326"/>
    <x v="38"/>
    <x v="76"/>
    <x v="150"/>
    <x v="4"/>
    <x v="1"/>
    <x v="1"/>
    <x v="164"/>
    <x v="236"/>
    <x v="147"/>
    <x v="12"/>
    <x v="1"/>
    <x v="23"/>
    <x v="19"/>
    <x v="38"/>
    <x v="17"/>
    <x v="3"/>
    <x v="15"/>
    <x v="36"/>
    <x v="397"/>
    <x v="47"/>
    <x v="0"/>
  </r>
  <r>
    <x v="24"/>
    <x v="16"/>
    <x v="467"/>
    <x v="6"/>
    <x v="16"/>
    <x v="224"/>
    <x v="16"/>
    <x v="1"/>
    <x v="1"/>
    <x v="387"/>
    <x v="350"/>
    <x v="146"/>
    <x v="58"/>
    <x v="0"/>
    <x v="0"/>
    <x v="25"/>
    <x v="37"/>
    <x v="12"/>
    <x v="2"/>
    <x v="35"/>
    <x v="38"/>
    <x v="8"/>
    <x v="436"/>
    <x v="0"/>
  </r>
  <r>
    <x v="25"/>
    <x v="4"/>
    <x v="89"/>
    <x v="12"/>
    <x v="140"/>
    <x v="187"/>
    <x v="4"/>
    <x v="0"/>
    <x v="1"/>
    <x v="316"/>
    <x v="58"/>
    <x v="145"/>
    <x v="13"/>
    <x v="8"/>
    <x v="23"/>
    <x v="8"/>
    <x v="35"/>
    <x v="20"/>
    <x v="8"/>
    <x v="28"/>
    <x v="26"/>
    <x v="386"/>
    <x v="58"/>
    <x v="0"/>
  </r>
  <r>
    <x v="26"/>
    <x v="4"/>
    <x v="115"/>
    <x v="11"/>
    <x v="157"/>
    <x v="122"/>
    <x v="4"/>
    <x v="1"/>
    <x v="1"/>
    <x v="257"/>
    <x v="78"/>
    <x v="144"/>
    <x v="10"/>
    <x v="7"/>
    <x v="20"/>
    <x v="3"/>
    <x v="33"/>
    <x v="26"/>
    <x v="27"/>
    <x v="36"/>
    <x v="24"/>
    <x v="408"/>
    <x v="36"/>
    <x v="0"/>
  </r>
  <r>
    <x v="27"/>
    <x v="9"/>
    <x v="223"/>
    <x v="32"/>
    <x v="185"/>
    <x v="196"/>
    <x v="9"/>
    <x v="0"/>
    <x v="1"/>
    <x v="176"/>
    <x v="164"/>
    <x v="143"/>
    <x v="11"/>
    <x v="5"/>
    <x v="1"/>
    <x v="0"/>
    <x v="20"/>
    <x v="33"/>
    <x v="4"/>
    <x v="5"/>
    <x v="4"/>
    <x v="404"/>
    <x v="40"/>
    <x v="0"/>
  </r>
  <r>
    <x v="28"/>
    <x v="6"/>
    <x v="137"/>
    <x v="2"/>
    <x v="28"/>
    <x v="151"/>
    <x v="6"/>
    <x v="0"/>
    <x v="1"/>
    <x v="101"/>
    <x v="97"/>
    <x v="142"/>
    <x v="38"/>
    <x v="8"/>
    <x v="20"/>
    <x v="18"/>
    <x v="16"/>
    <x v="23"/>
    <x v="26"/>
    <x v="33"/>
    <x v="10"/>
    <x v="111"/>
    <x v="333"/>
    <x v="0"/>
  </r>
  <r>
    <x v="29"/>
    <x v="6"/>
    <x v="166"/>
    <x v="38"/>
    <x v="202"/>
    <x v="34"/>
    <x v="6"/>
    <x v="0"/>
    <x v="0"/>
    <x v="211"/>
    <x v="125"/>
    <x v="141"/>
    <x v="13"/>
    <x v="9"/>
    <x v="9"/>
    <x v="19"/>
    <x v="38"/>
    <x v="17"/>
    <x v="3"/>
    <x v="15"/>
    <x v="36"/>
    <x v="384"/>
    <x v="60"/>
    <x v="0"/>
  </r>
  <r>
    <x v="29"/>
    <x v="6"/>
    <x v="202"/>
    <x v="38"/>
    <x v="88"/>
    <x v="34"/>
    <x v="6"/>
    <x v="0"/>
    <x v="1"/>
    <x v="211"/>
    <x v="147"/>
    <x v="141"/>
    <x v="9"/>
    <x v="9"/>
    <x v="14"/>
    <x v="19"/>
    <x v="38"/>
    <x v="17"/>
    <x v="3"/>
    <x v="15"/>
    <x v="36"/>
    <x v="413"/>
    <x v="31"/>
    <x v="0"/>
  </r>
  <r>
    <x v="30"/>
    <x v="16"/>
    <x v="261"/>
    <x v="6"/>
    <x v="189"/>
    <x v="111"/>
    <x v="16"/>
    <x v="1"/>
    <x v="1"/>
    <x v="206"/>
    <x v="112"/>
    <x v="140"/>
    <x v="45"/>
    <x v="9"/>
    <x v="28"/>
    <x v="25"/>
    <x v="37"/>
    <x v="12"/>
    <x v="2"/>
    <x v="35"/>
    <x v="38"/>
    <x v="45"/>
    <x v="399"/>
    <x v="0"/>
  </r>
  <r>
    <x v="31"/>
    <x v="7"/>
    <x v="301"/>
    <x v="38"/>
    <x v="103"/>
    <x v="38"/>
    <x v="7"/>
    <x v="0"/>
    <x v="0"/>
    <x v="3"/>
    <x v="215"/>
    <x v="139"/>
    <x v="19"/>
    <x v="9"/>
    <x v="9"/>
    <x v="19"/>
    <x v="38"/>
    <x v="17"/>
    <x v="3"/>
    <x v="15"/>
    <x v="36"/>
    <x v="321"/>
    <x v="123"/>
    <x v="0"/>
  </r>
  <r>
    <x v="31"/>
    <x v="5"/>
    <x v="219"/>
    <x v="38"/>
    <x v="123"/>
    <x v="97"/>
    <x v="5"/>
    <x v="1"/>
    <x v="1"/>
    <x v="126"/>
    <x v="161"/>
    <x v="139"/>
    <x v="42"/>
    <x v="9"/>
    <x v="14"/>
    <x v="19"/>
    <x v="38"/>
    <x v="17"/>
    <x v="3"/>
    <x v="15"/>
    <x v="36"/>
    <x v="65"/>
    <x v="379"/>
    <x v="0"/>
  </r>
  <r>
    <x v="32"/>
    <x v="6"/>
    <x v="274"/>
    <x v="1"/>
    <x v="176"/>
    <x v="185"/>
    <x v="6"/>
    <x v="0"/>
    <x v="1"/>
    <x v="213"/>
    <x v="201"/>
    <x v="138"/>
    <x v="63"/>
    <x v="4"/>
    <x v="6"/>
    <x v="20"/>
    <x v="14"/>
    <x v="23"/>
    <x v="29"/>
    <x v="31"/>
    <x v="5"/>
    <x v="0"/>
    <x v="444"/>
    <x v="0"/>
  </r>
  <r>
    <x v="32"/>
    <x v="6"/>
    <x v="274"/>
    <x v="1"/>
    <x v="176"/>
    <x v="185"/>
    <x v="6"/>
    <x v="0"/>
    <x v="1"/>
    <x v="213"/>
    <x v="201"/>
    <x v="138"/>
    <x v="63"/>
    <x v="4"/>
    <x v="6"/>
    <x v="20"/>
    <x v="14"/>
    <x v="23"/>
    <x v="29"/>
    <x v="31"/>
    <x v="5"/>
    <x v="0"/>
    <x v="444"/>
    <x v="0"/>
  </r>
  <r>
    <x v="33"/>
    <x v="0"/>
    <x v="366"/>
    <x v="6"/>
    <x v="148"/>
    <x v="18"/>
    <x v="0"/>
    <x v="1"/>
    <x v="1"/>
    <x v="386"/>
    <x v="268"/>
    <x v="137"/>
    <x v="43"/>
    <x v="0"/>
    <x v="0"/>
    <x v="25"/>
    <x v="37"/>
    <x v="12"/>
    <x v="2"/>
    <x v="35"/>
    <x v="38"/>
    <x v="63"/>
    <x v="381"/>
    <x v="0"/>
  </r>
  <r>
    <x v="34"/>
    <x v="4"/>
    <x v="408"/>
    <x v="17"/>
    <x v="203"/>
    <x v="71"/>
    <x v="4"/>
    <x v="1"/>
    <x v="1"/>
    <x v="381"/>
    <x v="307"/>
    <x v="136"/>
    <x v="23"/>
    <x v="1"/>
    <x v="6"/>
    <x v="1"/>
    <x v="36"/>
    <x v="34"/>
    <x v="9"/>
    <x v="25"/>
    <x v="31"/>
    <x v="293"/>
    <x v="151"/>
    <x v="0"/>
  </r>
  <r>
    <x v="35"/>
    <x v="2"/>
    <x v="233"/>
    <x v="37"/>
    <x v="109"/>
    <x v="146"/>
    <x v="2"/>
    <x v="1"/>
    <x v="1"/>
    <x v="36"/>
    <x v="175"/>
    <x v="135"/>
    <x v="31"/>
    <x v="5"/>
    <x v="0"/>
    <x v="21"/>
    <x v="34"/>
    <x v="22"/>
    <x v="30"/>
    <x v="9"/>
    <x v="23"/>
    <x v="189"/>
    <x v="255"/>
    <x v="0"/>
  </r>
  <r>
    <x v="36"/>
    <x v="4"/>
    <x v="5"/>
    <x v="38"/>
    <x v="143"/>
    <x v="41"/>
    <x v="4"/>
    <x v="0"/>
    <x v="1"/>
    <x v="373"/>
    <x v="3"/>
    <x v="134"/>
    <x v="22"/>
    <x v="7"/>
    <x v="27"/>
    <x v="19"/>
    <x v="38"/>
    <x v="17"/>
    <x v="3"/>
    <x v="15"/>
    <x v="36"/>
    <x v="298"/>
    <x v="146"/>
    <x v="0"/>
  </r>
  <r>
    <x v="36"/>
    <x v="4"/>
    <x v="131"/>
    <x v="38"/>
    <x v="143"/>
    <x v="41"/>
    <x v="4"/>
    <x v="0"/>
    <x v="1"/>
    <x v="373"/>
    <x v="91"/>
    <x v="134"/>
    <x v="25"/>
    <x v="0"/>
    <x v="8"/>
    <x v="19"/>
    <x v="38"/>
    <x v="17"/>
    <x v="3"/>
    <x v="15"/>
    <x v="36"/>
    <x v="270"/>
    <x v="174"/>
    <x v="0"/>
  </r>
  <r>
    <x v="37"/>
    <x v="9"/>
    <x v="134"/>
    <x v="32"/>
    <x v="59"/>
    <x v="196"/>
    <x v="9"/>
    <x v="1"/>
    <x v="1"/>
    <x v="10"/>
    <x v="94"/>
    <x v="133"/>
    <x v="14"/>
    <x v="5"/>
    <x v="26"/>
    <x v="0"/>
    <x v="20"/>
    <x v="33"/>
    <x v="4"/>
    <x v="5"/>
    <x v="4"/>
    <x v="378"/>
    <x v="66"/>
    <x v="0"/>
  </r>
  <r>
    <x v="37"/>
    <x v="9"/>
    <x v="339"/>
    <x v="32"/>
    <x v="59"/>
    <x v="196"/>
    <x v="9"/>
    <x v="1"/>
    <x v="0"/>
    <x v="11"/>
    <x v="248"/>
    <x v="133"/>
    <x v="19"/>
    <x v="2"/>
    <x v="25"/>
    <x v="0"/>
    <x v="20"/>
    <x v="33"/>
    <x v="4"/>
    <x v="5"/>
    <x v="4"/>
    <x v="330"/>
    <x v="114"/>
    <x v="0"/>
  </r>
  <r>
    <x v="38"/>
    <x v="16"/>
    <x v="64"/>
    <x v="6"/>
    <x v="188"/>
    <x v="61"/>
    <x v="16"/>
    <x v="1"/>
    <x v="1"/>
    <x v="141"/>
    <x v="48"/>
    <x v="132"/>
    <x v="54"/>
    <x v="1"/>
    <x v="1"/>
    <x v="25"/>
    <x v="37"/>
    <x v="12"/>
    <x v="2"/>
    <x v="35"/>
    <x v="38"/>
    <x v="19"/>
    <x v="425"/>
    <x v="0"/>
  </r>
  <r>
    <x v="39"/>
    <x v="10"/>
    <x v="348"/>
    <x v="12"/>
    <x v="98"/>
    <x v="72"/>
    <x v="10"/>
    <x v="1"/>
    <x v="1"/>
    <x v="379"/>
    <x v="256"/>
    <x v="131"/>
    <x v="9"/>
    <x v="3"/>
    <x v="19"/>
    <x v="8"/>
    <x v="35"/>
    <x v="20"/>
    <x v="8"/>
    <x v="28"/>
    <x v="26"/>
    <x v="415"/>
    <x v="29"/>
    <x v="0"/>
  </r>
  <r>
    <x v="40"/>
    <x v="5"/>
    <x v="180"/>
    <x v="38"/>
    <x v="70"/>
    <x v="227"/>
    <x v="5"/>
    <x v="1"/>
    <x v="1"/>
    <x v="384"/>
    <x v="133"/>
    <x v="130"/>
    <x v="32"/>
    <x v="6"/>
    <x v="16"/>
    <x v="19"/>
    <x v="38"/>
    <x v="17"/>
    <x v="3"/>
    <x v="15"/>
    <x v="36"/>
    <x v="179"/>
    <x v="265"/>
    <x v="0"/>
  </r>
  <r>
    <x v="41"/>
    <x v="5"/>
    <x v="189"/>
    <x v="38"/>
    <x v="48"/>
    <x v="97"/>
    <x v="5"/>
    <x v="1"/>
    <x v="1"/>
    <x v="324"/>
    <x v="143"/>
    <x v="129"/>
    <x v="12"/>
    <x v="3"/>
    <x v="24"/>
    <x v="19"/>
    <x v="38"/>
    <x v="17"/>
    <x v="3"/>
    <x v="15"/>
    <x v="36"/>
    <x v="393"/>
    <x v="51"/>
    <x v="0"/>
  </r>
  <r>
    <x v="42"/>
    <x v="5"/>
    <x v="399"/>
    <x v="38"/>
    <x v="143"/>
    <x v="114"/>
    <x v="5"/>
    <x v="1"/>
    <x v="1"/>
    <x v="317"/>
    <x v="300"/>
    <x v="128"/>
    <x v="21"/>
    <x v="1"/>
    <x v="13"/>
    <x v="19"/>
    <x v="38"/>
    <x v="17"/>
    <x v="3"/>
    <x v="15"/>
    <x v="36"/>
    <x v="312"/>
    <x v="132"/>
    <x v="0"/>
  </r>
  <r>
    <x v="43"/>
    <x v="0"/>
    <x v="407"/>
    <x v="12"/>
    <x v="11"/>
    <x v="30"/>
    <x v="0"/>
    <x v="0"/>
    <x v="0"/>
    <x v="163"/>
    <x v="306"/>
    <x v="127"/>
    <x v="36"/>
    <x v="3"/>
    <x v="27"/>
    <x v="8"/>
    <x v="35"/>
    <x v="20"/>
    <x v="8"/>
    <x v="28"/>
    <x v="26"/>
    <x v="145"/>
    <x v="299"/>
    <x v="0"/>
  </r>
  <r>
    <x v="44"/>
    <x v="12"/>
    <x v="135"/>
    <x v="0"/>
    <x v="159"/>
    <x v="139"/>
    <x v="12"/>
    <x v="0"/>
    <x v="0"/>
    <x v="291"/>
    <x v="95"/>
    <x v="126"/>
    <x v="28"/>
    <x v="1"/>
    <x v="8"/>
    <x v="22"/>
    <x v="25"/>
    <x v="28"/>
    <x v="23"/>
    <x v="27"/>
    <x v="13"/>
    <x v="235"/>
    <x v="209"/>
    <x v="0"/>
  </r>
  <r>
    <x v="45"/>
    <x v="16"/>
    <x v="454"/>
    <x v="6"/>
    <x v="69"/>
    <x v="160"/>
    <x v="16"/>
    <x v="1"/>
    <x v="1"/>
    <x v="85"/>
    <x v="339"/>
    <x v="125"/>
    <x v="45"/>
    <x v="9"/>
    <x v="0"/>
    <x v="25"/>
    <x v="37"/>
    <x v="12"/>
    <x v="2"/>
    <x v="35"/>
    <x v="38"/>
    <x v="46"/>
    <x v="398"/>
    <x v="0"/>
  </r>
  <r>
    <x v="46"/>
    <x v="12"/>
    <x v="133"/>
    <x v="19"/>
    <x v="122"/>
    <x v="139"/>
    <x v="12"/>
    <x v="0"/>
    <x v="1"/>
    <x v="183"/>
    <x v="93"/>
    <x v="124"/>
    <x v="27"/>
    <x v="9"/>
    <x v="25"/>
    <x v="29"/>
    <x v="24"/>
    <x v="8"/>
    <x v="13"/>
    <x v="32"/>
    <x v="30"/>
    <x v="237"/>
    <x v="207"/>
    <x v="0"/>
  </r>
  <r>
    <x v="47"/>
    <x v="16"/>
    <x v="386"/>
    <x v="13"/>
    <x v="43"/>
    <x v="201"/>
    <x v="16"/>
    <x v="1"/>
    <x v="1"/>
    <x v="231"/>
    <x v="289"/>
    <x v="123"/>
    <x v="19"/>
    <x v="6"/>
    <x v="17"/>
    <x v="33"/>
    <x v="32"/>
    <x v="2"/>
    <x v="6"/>
    <x v="30"/>
    <x v="37"/>
    <x v="325"/>
    <x v="119"/>
    <x v="0"/>
  </r>
  <r>
    <x v="48"/>
    <x v="3"/>
    <x v="253"/>
    <x v="14"/>
    <x v="89"/>
    <x v="45"/>
    <x v="3"/>
    <x v="1"/>
    <x v="1"/>
    <x v="201"/>
    <x v="168"/>
    <x v="122"/>
    <x v="22"/>
    <x v="3"/>
    <x v="16"/>
    <x v="30"/>
    <x v="23"/>
    <x v="4"/>
    <x v="5"/>
    <x v="8"/>
    <x v="35"/>
    <x v="301"/>
    <x v="143"/>
    <x v="0"/>
  </r>
  <r>
    <x v="49"/>
    <x v="5"/>
    <x v="420"/>
    <x v="38"/>
    <x v="155"/>
    <x v="59"/>
    <x v="5"/>
    <x v="1"/>
    <x v="1"/>
    <x v="255"/>
    <x v="317"/>
    <x v="121"/>
    <x v="18"/>
    <x v="8"/>
    <x v="29"/>
    <x v="19"/>
    <x v="38"/>
    <x v="17"/>
    <x v="3"/>
    <x v="15"/>
    <x v="36"/>
    <x v="336"/>
    <x v="108"/>
    <x v="0"/>
  </r>
  <r>
    <x v="50"/>
    <x v="12"/>
    <x v="22"/>
    <x v="36"/>
    <x v="167"/>
    <x v="75"/>
    <x v="12"/>
    <x v="1"/>
    <x v="1"/>
    <x v="214"/>
    <x v="14"/>
    <x v="120"/>
    <x v="46"/>
    <x v="2"/>
    <x v="7"/>
    <x v="13"/>
    <x v="13"/>
    <x v="16"/>
    <x v="0"/>
    <x v="0"/>
    <x v="7"/>
    <x v="41"/>
    <x v="403"/>
    <x v="0"/>
  </r>
  <r>
    <x v="51"/>
    <x v="0"/>
    <x v="395"/>
    <x v="12"/>
    <x v="56"/>
    <x v="29"/>
    <x v="0"/>
    <x v="0"/>
    <x v="1"/>
    <x v="273"/>
    <x v="299"/>
    <x v="119"/>
    <x v="40"/>
    <x v="4"/>
    <x v="8"/>
    <x v="8"/>
    <x v="35"/>
    <x v="20"/>
    <x v="8"/>
    <x v="28"/>
    <x v="26"/>
    <x v="89"/>
    <x v="355"/>
    <x v="0"/>
  </r>
  <r>
    <x v="52"/>
    <x v="16"/>
    <x v="263"/>
    <x v="38"/>
    <x v="186"/>
    <x v="7"/>
    <x v="16"/>
    <x v="0"/>
    <x v="0"/>
    <x v="318"/>
    <x v="190"/>
    <x v="118"/>
    <x v="44"/>
    <x v="3"/>
    <x v="6"/>
    <x v="19"/>
    <x v="38"/>
    <x v="17"/>
    <x v="3"/>
    <x v="15"/>
    <x v="36"/>
    <x v="56"/>
    <x v="388"/>
    <x v="0"/>
  </r>
  <r>
    <x v="53"/>
    <x v="5"/>
    <x v="336"/>
    <x v="14"/>
    <x v="97"/>
    <x v="16"/>
    <x v="5"/>
    <x v="0"/>
    <x v="1"/>
    <x v="135"/>
    <x v="245"/>
    <x v="117"/>
    <x v="15"/>
    <x v="0"/>
    <x v="0"/>
    <x v="30"/>
    <x v="23"/>
    <x v="4"/>
    <x v="5"/>
    <x v="8"/>
    <x v="35"/>
    <x v="376"/>
    <x v="68"/>
    <x v="0"/>
  </r>
  <r>
    <x v="54"/>
    <x v="12"/>
    <x v="441"/>
    <x v="26"/>
    <x v="132"/>
    <x v="134"/>
    <x v="12"/>
    <x v="1"/>
    <x v="1"/>
    <x v="261"/>
    <x v="333"/>
    <x v="116"/>
    <x v="35"/>
    <x v="0"/>
    <x v="2"/>
    <x v="34"/>
    <x v="27"/>
    <x v="7"/>
    <x v="7"/>
    <x v="24"/>
    <x v="32"/>
    <x v="159"/>
    <x v="285"/>
    <x v="0"/>
  </r>
  <r>
    <x v="55"/>
    <x v="16"/>
    <x v="165"/>
    <x v="6"/>
    <x v="69"/>
    <x v="61"/>
    <x v="16"/>
    <x v="1"/>
    <x v="1"/>
    <x v="206"/>
    <x v="124"/>
    <x v="115"/>
    <x v="38"/>
    <x v="8"/>
    <x v="9"/>
    <x v="25"/>
    <x v="37"/>
    <x v="12"/>
    <x v="2"/>
    <x v="35"/>
    <x v="38"/>
    <x v="112"/>
    <x v="332"/>
    <x v="0"/>
  </r>
  <r>
    <x v="56"/>
    <x v="10"/>
    <x v="149"/>
    <x v="6"/>
    <x v="55"/>
    <x v="100"/>
    <x v="10"/>
    <x v="1"/>
    <x v="1"/>
    <x v="136"/>
    <x v="342"/>
    <x v="114"/>
    <x v="16"/>
    <x v="7"/>
    <x v="10"/>
    <x v="25"/>
    <x v="37"/>
    <x v="12"/>
    <x v="2"/>
    <x v="35"/>
    <x v="38"/>
    <x v="362"/>
    <x v="82"/>
    <x v="0"/>
  </r>
  <r>
    <x v="57"/>
    <x v="12"/>
    <x v="158"/>
    <x v="5"/>
    <x v="182"/>
    <x v="139"/>
    <x v="12"/>
    <x v="0"/>
    <x v="0"/>
    <x v="104"/>
    <x v="118"/>
    <x v="113"/>
    <x v="17"/>
    <x v="0"/>
    <x v="0"/>
    <x v="27"/>
    <x v="3"/>
    <x v="19"/>
    <x v="21"/>
    <x v="11"/>
    <x v="12"/>
    <x v="356"/>
    <x v="88"/>
    <x v="0"/>
  </r>
  <r>
    <x v="57"/>
    <x v="10"/>
    <x v="286"/>
    <x v="14"/>
    <x v="97"/>
    <x v="16"/>
    <x v="10"/>
    <x v="0"/>
    <x v="1"/>
    <x v="135"/>
    <x v="209"/>
    <x v="113"/>
    <x v="13"/>
    <x v="9"/>
    <x v="1"/>
    <x v="30"/>
    <x v="23"/>
    <x v="4"/>
    <x v="5"/>
    <x v="8"/>
    <x v="35"/>
    <x v="385"/>
    <x v="59"/>
    <x v="0"/>
  </r>
  <r>
    <x v="58"/>
    <x v="10"/>
    <x v="172"/>
    <x v="37"/>
    <x v="109"/>
    <x v="43"/>
    <x v="10"/>
    <x v="1"/>
    <x v="1"/>
    <x v="279"/>
    <x v="127"/>
    <x v="112"/>
    <x v="27"/>
    <x v="0"/>
    <x v="0"/>
    <x v="21"/>
    <x v="34"/>
    <x v="22"/>
    <x v="30"/>
    <x v="9"/>
    <x v="23"/>
    <x v="246"/>
    <x v="198"/>
    <x v="0"/>
  </r>
  <r>
    <x v="59"/>
    <x v="8"/>
    <x v="65"/>
    <x v="13"/>
    <x v="165"/>
    <x v="228"/>
    <x v="8"/>
    <x v="0"/>
    <x v="1"/>
    <x v="260"/>
    <x v="49"/>
    <x v="111"/>
    <x v="15"/>
    <x v="4"/>
    <x v="10"/>
    <x v="33"/>
    <x v="32"/>
    <x v="2"/>
    <x v="6"/>
    <x v="30"/>
    <x v="37"/>
    <x v="373"/>
    <x v="71"/>
    <x v="0"/>
  </r>
  <r>
    <x v="60"/>
    <x v="17"/>
    <x v="277"/>
    <x v="17"/>
    <x v="203"/>
    <x v="113"/>
    <x v="17"/>
    <x v="1"/>
    <x v="1"/>
    <x v="334"/>
    <x v="202"/>
    <x v="110"/>
    <x v="31"/>
    <x v="7"/>
    <x v="10"/>
    <x v="1"/>
    <x v="36"/>
    <x v="34"/>
    <x v="9"/>
    <x v="25"/>
    <x v="31"/>
    <x v="185"/>
    <x v="259"/>
    <x v="0"/>
  </r>
  <r>
    <x v="61"/>
    <x v="12"/>
    <x v="440"/>
    <x v="26"/>
    <x v="132"/>
    <x v="215"/>
    <x v="12"/>
    <x v="1"/>
    <x v="1"/>
    <x v="195"/>
    <x v="333"/>
    <x v="109"/>
    <x v="30"/>
    <x v="4"/>
    <x v="6"/>
    <x v="34"/>
    <x v="27"/>
    <x v="7"/>
    <x v="7"/>
    <x v="24"/>
    <x v="32"/>
    <x v="204"/>
    <x v="240"/>
    <x v="0"/>
  </r>
  <r>
    <x v="62"/>
    <x v="6"/>
    <x v="107"/>
    <x v="11"/>
    <x v="105"/>
    <x v="42"/>
    <x v="6"/>
    <x v="0"/>
    <x v="1"/>
    <x v="28"/>
    <x v="71"/>
    <x v="108"/>
    <x v="44"/>
    <x v="8"/>
    <x v="17"/>
    <x v="3"/>
    <x v="33"/>
    <x v="26"/>
    <x v="27"/>
    <x v="36"/>
    <x v="24"/>
    <x v="54"/>
    <x v="390"/>
    <x v="0"/>
  </r>
  <r>
    <x v="63"/>
    <x v="5"/>
    <x v="1"/>
    <x v="38"/>
    <x v="128"/>
    <x v="76"/>
    <x v="5"/>
    <x v="0"/>
    <x v="0"/>
    <x v="152"/>
    <x v="1"/>
    <x v="107"/>
    <x v="35"/>
    <x v="11"/>
    <x v="18"/>
    <x v="19"/>
    <x v="38"/>
    <x v="17"/>
    <x v="3"/>
    <x v="15"/>
    <x v="36"/>
    <x v="148"/>
    <x v="296"/>
    <x v="0"/>
  </r>
  <r>
    <x v="63"/>
    <x v="3"/>
    <x v="239"/>
    <x v="26"/>
    <x v="132"/>
    <x v="89"/>
    <x v="3"/>
    <x v="1"/>
    <x v="1"/>
    <x v="219"/>
    <x v="180"/>
    <x v="107"/>
    <x v="29"/>
    <x v="7"/>
    <x v="10"/>
    <x v="34"/>
    <x v="27"/>
    <x v="7"/>
    <x v="7"/>
    <x v="24"/>
    <x v="32"/>
    <x v="218"/>
    <x v="226"/>
    <x v="0"/>
  </r>
  <r>
    <x v="64"/>
    <x v="4"/>
    <x v="257"/>
    <x v="38"/>
    <x v="37"/>
    <x v="231"/>
    <x v="4"/>
    <x v="0"/>
    <x v="1"/>
    <x v="367"/>
    <x v="187"/>
    <x v="106"/>
    <x v="60"/>
    <x v="8"/>
    <x v="18"/>
    <x v="19"/>
    <x v="38"/>
    <x v="17"/>
    <x v="3"/>
    <x v="15"/>
    <x v="36"/>
    <x v="3"/>
    <x v="441"/>
    <x v="0"/>
  </r>
  <r>
    <x v="64"/>
    <x v="14"/>
    <x v="447"/>
    <x v="6"/>
    <x v="189"/>
    <x v="163"/>
    <x v="14"/>
    <x v="1"/>
    <x v="1"/>
    <x v="369"/>
    <x v="335"/>
    <x v="106"/>
    <x v="44"/>
    <x v="9"/>
    <x v="0"/>
    <x v="25"/>
    <x v="37"/>
    <x v="12"/>
    <x v="2"/>
    <x v="35"/>
    <x v="38"/>
    <x v="52"/>
    <x v="392"/>
    <x v="0"/>
  </r>
  <r>
    <x v="65"/>
    <x v="16"/>
    <x v="182"/>
    <x v="38"/>
    <x v="110"/>
    <x v="194"/>
    <x v="16"/>
    <x v="1"/>
    <x v="1"/>
    <x v="141"/>
    <x v="135"/>
    <x v="105"/>
    <x v="37"/>
    <x v="1"/>
    <x v="16"/>
    <x v="19"/>
    <x v="38"/>
    <x v="17"/>
    <x v="3"/>
    <x v="15"/>
    <x v="36"/>
    <x v="134"/>
    <x v="310"/>
    <x v="0"/>
  </r>
  <r>
    <x v="66"/>
    <x v="4"/>
    <x v="236"/>
    <x v="38"/>
    <x v="143"/>
    <x v="69"/>
    <x v="4"/>
    <x v="0"/>
    <x v="1"/>
    <x v="184"/>
    <x v="179"/>
    <x v="104"/>
    <x v="7"/>
    <x v="2"/>
    <x v="18"/>
    <x v="19"/>
    <x v="38"/>
    <x v="17"/>
    <x v="3"/>
    <x v="15"/>
    <x v="36"/>
    <x v="423"/>
    <x v="21"/>
    <x v="0"/>
  </r>
  <r>
    <x v="66"/>
    <x v="10"/>
    <x v="410"/>
    <x v="17"/>
    <x v="152"/>
    <x v="195"/>
    <x v="10"/>
    <x v="1"/>
    <x v="1"/>
    <x v="347"/>
    <x v="309"/>
    <x v="104"/>
    <x v="19"/>
    <x v="5"/>
    <x v="9"/>
    <x v="1"/>
    <x v="36"/>
    <x v="34"/>
    <x v="9"/>
    <x v="25"/>
    <x v="31"/>
    <x v="326"/>
    <x v="118"/>
    <x v="0"/>
  </r>
  <r>
    <x v="67"/>
    <x v="12"/>
    <x v="9"/>
    <x v="26"/>
    <x v="132"/>
    <x v="213"/>
    <x v="12"/>
    <x v="1"/>
    <x v="1"/>
    <x v="225"/>
    <x v="6"/>
    <x v="103"/>
    <x v="39"/>
    <x v="8"/>
    <x v="25"/>
    <x v="34"/>
    <x v="27"/>
    <x v="7"/>
    <x v="7"/>
    <x v="24"/>
    <x v="32"/>
    <x v="94"/>
    <x v="350"/>
    <x v="0"/>
  </r>
  <r>
    <x v="68"/>
    <x v="3"/>
    <x v="430"/>
    <x v="26"/>
    <x v="132"/>
    <x v="152"/>
    <x v="3"/>
    <x v="1"/>
    <x v="1"/>
    <x v="7"/>
    <x v="324"/>
    <x v="102"/>
    <x v="24"/>
    <x v="8"/>
    <x v="0"/>
    <x v="34"/>
    <x v="27"/>
    <x v="7"/>
    <x v="7"/>
    <x v="24"/>
    <x v="32"/>
    <x v="274"/>
    <x v="170"/>
    <x v="0"/>
  </r>
  <r>
    <x v="69"/>
    <x v="8"/>
    <x v="418"/>
    <x v="38"/>
    <x v="139"/>
    <x v="104"/>
    <x v="8"/>
    <x v="1"/>
    <x v="1"/>
    <x v="111"/>
    <x v="317"/>
    <x v="101"/>
    <x v="12"/>
    <x v="7"/>
    <x v="11"/>
    <x v="19"/>
    <x v="38"/>
    <x v="17"/>
    <x v="3"/>
    <x v="15"/>
    <x v="36"/>
    <x v="392"/>
    <x v="52"/>
    <x v="0"/>
  </r>
  <r>
    <x v="70"/>
    <x v="12"/>
    <x v="21"/>
    <x v="0"/>
    <x v="159"/>
    <x v="139"/>
    <x v="12"/>
    <x v="1"/>
    <x v="1"/>
    <x v="105"/>
    <x v="13"/>
    <x v="100"/>
    <x v="35"/>
    <x v="10"/>
    <x v="17"/>
    <x v="22"/>
    <x v="25"/>
    <x v="28"/>
    <x v="23"/>
    <x v="27"/>
    <x v="13"/>
    <x v="149"/>
    <x v="295"/>
    <x v="0"/>
  </r>
  <r>
    <x v="71"/>
    <x v="5"/>
    <x v="345"/>
    <x v="38"/>
    <x v="63"/>
    <x v="97"/>
    <x v="5"/>
    <x v="1"/>
    <x v="1"/>
    <x v="75"/>
    <x v="254"/>
    <x v="99"/>
    <x v="23"/>
    <x v="7"/>
    <x v="7"/>
    <x v="19"/>
    <x v="38"/>
    <x v="17"/>
    <x v="3"/>
    <x v="15"/>
    <x v="36"/>
    <x v="287"/>
    <x v="157"/>
    <x v="0"/>
  </r>
  <r>
    <x v="72"/>
    <x v="0"/>
    <x v="109"/>
    <x v="6"/>
    <x v="69"/>
    <x v="12"/>
    <x v="0"/>
    <x v="1"/>
    <x v="1"/>
    <x v="192"/>
    <x v="74"/>
    <x v="98"/>
    <x v="37"/>
    <x v="5"/>
    <x v="0"/>
    <x v="25"/>
    <x v="37"/>
    <x v="12"/>
    <x v="2"/>
    <x v="35"/>
    <x v="38"/>
    <x v="131"/>
    <x v="313"/>
    <x v="0"/>
  </r>
  <r>
    <x v="72"/>
    <x v="12"/>
    <x v="448"/>
    <x v="6"/>
    <x v="189"/>
    <x v="140"/>
    <x v="12"/>
    <x v="1"/>
    <x v="1"/>
    <x v="369"/>
    <x v="338"/>
    <x v="98"/>
    <x v="42"/>
    <x v="2"/>
    <x v="0"/>
    <x v="25"/>
    <x v="37"/>
    <x v="12"/>
    <x v="2"/>
    <x v="35"/>
    <x v="38"/>
    <x v="71"/>
    <x v="373"/>
    <x v="0"/>
  </r>
  <r>
    <x v="73"/>
    <x v="6"/>
    <x v="334"/>
    <x v="6"/>
    <x v="137"/>
    <x v="174"/>
    <x v="6"/>
    <x v="1"/>
    <x v="1"/>
    <x v="272"/>
    <x v="351"/>
    <x v="97"/>
    <x v="39"/>
    <x v="3"/>
    <x v="16"/>
    <x v="25"/>
    <x v="37"/>
    <x v="12"/>
    <x v="2"/>
    <x v="35"/>
    <x v="38"/>
    <x v="99"/>
    <x v="345"/>
    <x v="0"/>
  </r>
  <r>
    <x v="74"/>
    <x v="0"/>
    <x v="442"/>
    <x v="6"/>
    <x v="189"/>
    <x v="19"/>
    <x v="0"/>
    <x v="1"/>
    <x v="1"/>
    <x v="369"/>
    <x v="47"/>
    <x v="96"/>
    <x v="40"/>
    <x v="1"/>
    <x v="14"/>
    <x v="25"/>
    <x v="37"/>
    <x v="12"/>
    <x v="2"/>
    <x v="35"/>
    <x v="38"/>
    <x v="92"/>
    <x v="352"/>
    <x v="0"/>
  </r>
  <r>
    <x v="75"/>
    <x v="3"/>
    <x v="144"/>
    <x v="38"/>
    <x v="150"/>
    <x v="153"/>
    <x v="3"/>
    <x v="1"/>
    <x v="1"/>
    <x v="131"/>
    <x v="106"/>
    <x v="95"/>
    <x v="19"/>
    <x v="11"/>
    <x v="10"/>
    <x v="19"/>
    <x v="38"/>
    <x v="17"/>
    <x v="3"/>
    <x v="15"/>
    <x v="36"/>
    <x v="319"/>
    <x v="125"/>
    <x v="0"/>
  </r>
  <r>
    <x v="75"/>
    <x v="5"/>
    <x v="83"/>
    <x v="38"/>
    <x v="155"/>
    <x v="97"/>
    <x v="5"/>
    <x v="1"/>
    <x v="1"/>
    <x v="350"/>
    <x v="53"/>
    <x v="95"/>
    <x v="31"/>
    <x v="8"/>
    <x v="10"/>
    <x v="19"/>
    <x v="38"/>
    <x v="17"/>
    <x v="3"/>
    <x v="15"/>
    <x v="36"/>
    <x v="184"/>
    <x v="260"/>
    <x v="0"/>
  </r>
  <r>
    <x v="75"/>
    <x v="3"/>
    <x v="125"/>
    <x v="26"/>
    <x v="132"/>
    <x v="157"/>
    <x v="3"/>
    <x v="1"/>
    <x v="1"/>
    <x v="354"/>
    <x v="88"/>
    <x v="95"/>
    <x v="26"/>
    <x v="10"/>
    <x v="8"/>
    <x v="34"/>
    <x v="27"/>
    <x v="7"/>
    <x v="7"/>
    <x v="24"/>
    <x v="32"/>
    <x v="248"/>
    <x v="196"/>
    <x v="0"/>
  </r>
  <r>
    <x v="76"/>
    <x v="5"/>
    <x v="69"/>
    <x v="38"/>
    <x v="57"/>
    <x v="181"/>
    <x v="5"/>
    <x v="1"/>
    <x v="1"/>
    <x v="116"/>
    <x v="51"/>
    <x v="94"/>
    <x v="36"/>
    <x v="0"/>
    <x v="16"/>
    <x v="19"/>
    <x v="38"/>
    <x v="17"/>
    <x v="3"/>
    <x v="15"/>
    <x v="36"/>
    <x v="147"/>
    <x v="297"/>
    <x v="0"/>
  </r>
  <r>
    <x v="77"/>
    <x v="12"/>
    <x v="227"/>
    <x v="37"/>
    <x v="109"/>
    <x v="211"/>
    <x v="12"/>
    <x v="0"/>
    <x v="1"/>
    <x v="223"/>
    <x v="171"/>
    <x v="93"/>
    <x v="24"/>
    <x v="5"/>
    <x v="14"/>
    <x v="21"/>
    <x v="34"/>
    <x v="22"/>
    <x v="30"/>
    <x v="9"/>
    <x v="23"/>
    <x v="276"/>
    <x v="168"/>
    <x v="0"/>
  </r>
  <r>
    <x v="78"/>
    <x v="5"/>
    <x v="401"/>
    <x v="38"/>
    <x v="63"/>
    <x v="97"/>
    <x v="5"/>
    <x v="1"/>
    <x v="1"/>
    <x v="69"/>
    <x v="301"/>
    <x v="92"/>
    <x v="30"/>
    <x v="5"/>
    <x v="10"/>
    <x v="19"/>
    <x v="38"/>
    <x v="17"/>
    <x v="3"/>
    <x v="15"/>
    <x v="36"/>
    <x v="202"/>
    <x v="242"/>
    <x v="0"/>
  </r>
  <r>
    <x v="78"/>
    <x v="5"/>
    <x v="49"/>
    <x v="38"/>
    <x v="85"/>
    <x v="114"/>
    <x v="5"/>
    <x v="1"/>
    <x v="1"/>
    <x v="143"/>
    <x v="34"/>
    <x v="92"/>
    <x v="10"/>
    <x v="1"/>
    <x v="15"/>
    <x v="19"/>
    <x v="38"/>
    <x v="17"/>
    <x v="3"/>
    <x v="15"/>
    <x v="36"/>
    <x v="410"/>
    <x v="34"/>
    <x v="0"/>
  </r>
  <r>
    <x v="78"/>
    <x v="12"/>
    <x v="378"/>
    <x v="13"/>
    <x v="77"/>
    <x v="211"/>
    <x v="12"/>
    <x v="0"/>
    <x v="0"/>
    <x v="151"/>
    <x v="278"/>
    <x v="92"/>
    <x v="24"/>
    <x v="2"/>
    <x v="19"/>
    <x v="33"/>
    <x v="32"/>
    <x v="2"/>
    <x v="6"/>
    <x v="30"/>
    <x v="37"/>
    <x v="280"/>
    <x v="164"/>
    <x v="0"/>
  </r>
  <r>
    <x v="79"/>
    <x v="13"/>
    <x v="97"/>
    <x v="38"/>
    <x v="145"/>
    <x v="182"/>
    <x v="13"/>
    <x v="1"/>
    <x v="1"/>
    <x v="46"/>
    <x v="63"/>
    <x v="91"/>
    <x v="6"/>
    <x v="4"/>
    <x v="10"/>
    <x v="19"/>
    <x v="38"/>
    <x v="17"/>
    <x v="3"/>
    <x v="15"/>
    <x v="36"/>
    <x v="426"/>
    <x v="18"/>
    <x v="0"/>
  </r>
  <r>
    <x v="79"/>
    <x v="4"/>
    <x v="203"/>
    <x v="38"/>
    <x v="49"/>
    <x v="102"/>
    <x v="4"/>
    <x v="1"/>
    <x v="1"/>
    <x v="215"/>
    <x v="147"/>
    <x v="91"/>
    <x v="14"/>
    <x v="0"/>
    <x v="21"/>
    <x v="19"/>
    <x v="38"/>
    <x v="17"/>
    <x v="3"/>
    <x v="15"/>
    <x v="36"/>
    <x v="381"/>
    <x v="63"/>
    <x v="0"/>
  </r>
  <r>
    <x v="80"/>
    <x v="11"/>
    <x v="375"/>
    <x v="38"/>
    <x v="143"/>
    <x v="149"/>
    <x v="11"/>
    <x v="0"/>
    <x v="1"/>
    <x v="228"/>
    <x v="275"/>
    <x v="90"/>
    <x v="5"/>
    <x v="2"/>
    <x v="10"/>
    <x v="19"/>
    <x v="38"/>
    <x v="17"/>
    <x v="3"/>
    <x v="15"/>
    <x v="36"/>
    <x v="429"/>
    <x v="15"/>
    <x v="0"/>
  </r>
  <r>
    <x v="81"/>
    <x v="5"/>
    <x v="433"/>
    <x v="32"/>
    <x v="40"/>
    <x v="14"/>
    <x v="5"/>
    <x v="0"/>
    <x v="0"/>
    <x v="303"/>
    <x v="327"/>
    <x v="89"/>
    <x v="27"/>
    <x v="0"/>
    <x v="0"/>
    <x v="0"/>
    <x v="20"/>
    <x v="33"/>
    <x v="4"/>
    <x v="5"/>
    <x v="4"/>
    <x v="246"/>
    <x v="198"/>
    <x v="0"/>
  </r>
  <r>
    <x v="82"/>
    <x v="4"/>
    <x v="416"/>
    <x v="12"/>
    <x v="134"/>
    <x v="5"/>
    <x v="4"/>
    <x v="0"/>
    <x v="1"/>
    <x v="6"/>
    <x v="315"/>
    <x v="88"/>
    <x v="25"/>
    <x v="0"/>
    <x v="0"/>
    <x v="8"/>
    <x v="35"/>
    <x v="20"/>
    <x v="8"/>
    <x v="28"/>
    <x v="26"/>
    <x v="271"/>
    <x v="173"/>
    <x v="0"/>
  </r>
  <r>
    <x v="82"/>
    <x v="5"/>
    <x v="349"/>
    <x v="8"/>
    <x v="164"/>
    <x v="79"/>
    <x v="5"/>
    <x v="0"/>
    <x v="0"/>
    <x v="157"/>
    <x v="257"/>
    <x v="88"/>
    <x v="41"/>
    <x v="6"/>
    <x v="3"/>
    <x v="16"/>
    <x v="2"/>
    <x v="18"/>
    <x v="17"/>
    <x v="23"/>
    <x v="9"/>
    <x v="78"/>
    <x v="366"/>
    <x v="0"/>
  </r>
  <r>
    <x v="82"/>
    <x v="5"/>
    <x v="349"/>
    <x v="8"/>
    <x v="164"/>
    <x v="79"/>
    <x v="5"/>
    <x v="0"/>
    <x v="0"/>
    <x v="157"/>
    <x v="257"/>
    <x v="88"/>
    <x v="41"/>
    <x v="6"/>
    <x v="3"/>
    <x v="16"/>
    <x v="2"/>
    <x v="18"/>
    <x v="17"/>
    <x v="23"/>
    <x v="9"/>
    <x v="78"/>
    <x v="366"/>
    <x v="0"/>
  </r>
  <r>
    <x v="83"/>
    <x v="8"/>
    <x v="244"/>
    <x v="6"/>
    <x v="189"/>
    <x v="130"/>
    <x v="8"/>
    <x v="1"/>
    <x v="1"/>
    <x v="192"/>
    <x v="345"/>
    <x v="87"/>
    <x v="25"/>
    <x v="0"/>
    <x v="0"/>
    <x v="25"/>
    <x v="37"/>
    <x v="12"/>
    <x v="2"/>
    <x v="35"/>
    <x v="38"/>
    <x v="271"/>
    <x v="173"/>
    <x v="0"/>
  </r>
  <r>
    <x v="84"/>
    <x v="4"/>
    <x v="394"/>
    <x v="31"/>
    <x v="195"/>
    <x v="92"/>
    <x v="4"/>
    <x v="0"/>
    <x v="1"/>
    <x v="254"/>
    <x v="299"/>
    <x v="86"/>
    <x v="21"/>
    <x v="9"/>
    <x v="3"/>
    <x v="5"/>
    <x v="17"/>
    <x v="26"/>
    <x v="32"/>
    <x v="29"/>
    <x v="8"/>
    <x v="307"/>
    <x v="137"/>
    <x v="0"/>
  </r>
  <r>
    <x v="84"/>
    <x v="16"/>
    <x v="110"/>
    <x v="38"/>
    <x v="7"/>
    <x v="91"/>
    <x v="16"/>
    <x v="1"/>
    <x v="1"/>
    <x v="312"/>
    <x v="74"/>
    <x v="86"/>
    <x v="29"/>
    <x v="3"/>
    <x v="26"/>
    <x v="19"/>
    <x v="38"/>
    <x v="17"/>
    <x v="3"/>
    <x v="15"/>
    <x v="36"/>
    <x v="220"/>
    <x v="224"/>
    <x v="0"/>
  </r>
  <r>
    <x v="85"/>
    <x v="5"/>
    <x v="292"/>
    <x v="32"/>
    <x v="59"/>
    <x v="97"/>
    <x v="5"/>
    <x v="1"/>
    <x v="1"/>
    <x v="258"/>
    <x v="209"/>
    <x v="85"/>
    <x v="42"/>
    <x v="2"/>
    <x v="17"/>
    <x v="0"/>
    <x v="20"/>
    <x v="33"/>
    <x v="4"/>
    <x v="5"/>
    <x v="4"/>
    <x v="70"/>
    <x v="374"/>
    <x v="0"/>
  </r>
  <r>
    <x v="86"/>
    <x v="6"/>
    <x v="315"/>
    <x v="6"/>
    <x v="55"/>
    <x v="206"/>
    <x v="6"/>
    <x v="1"/>
    <x v="1"/>
    <x v="245"/>
    <x v="157"/>
    <x v="84"/>
    <x v="30"/>
    <x v="0"/>
    <x v="18"/>
    <x v="25"/>
    <x v="37"/>
    <x v="12"/>
    <x v="2"/>
    <x v="35"/>
    <x v="38"/>
    <x v="208"/>
    <x v="236"/>
    <x v="0"/>
  </r>
  <r>
    <x v="87"/>
    <x v="6"/>
    <x v="208"/>
    <x v="32"/>
    <x v="220"/>
    <x v="20"/>
    <x v="6"/>
    <x v="1"/>
    <x v="1"/>
    <x v="189"/>
    <x v="149"/>
    <x v="83"/>
    <x v="13"/>
    <x v="7"/>
    <x v="25"/>
    <x v="0"/>
    <x v="20"/>
    <x v="33"/>
    <x v="4"/>
    <x v="5"/>
    <x v="4"/>
    <x v="387"/>
    <x v="57"/>
    <x v="0"/>
  </r>
  <r>
    <x v="88"/>
    <x v="8"/>
    <x v="90"/>
    <x v="13"/>
    <x v="135"/>
    <x v="172"/>
    <x v="8"/>
    <x v="1"/>
    <x v="1"/>
    <x v="320"/>
    <x v="59"/>
    <x v="82"/>
    <x v="29"/>
    <x v="9"/>
    <x v="0"/>
    <x v="33"/>
    <x v="32"/>
    <x v="2"/>
    <x v="6"/>
    <x v="30"/>
    <x v="37"/>
    <x v="215"/>
    <x v="229"/>
    <x v="0"/>
  </r>
  <r>
    <x v="89"/>
    <x v="16"/>
    <x v="362"/>
    <x v="38"/>
    <x v="179"/>
    <x v="234"/>
    <x v="16"/>
    <x v="1"/>
    <x v="1"/>
    <x v="252"/>
    <x v="266"/>
    <x v="81"/>
    <x v="52"/>
    <x v="2"/>
    <x v="9"/>
    <x v="19"/>
    <x v="38"/>
    <x v="17"/>
    <x v="3"/>
    <x v="15"/>
    <x v="36"/>
    <x v="25"/>
    <x v="419"/>
    <x v="0"/>
  </r>
  <r>
    <x v="90"/>
    <x v="4"/>
    <x v="337"/>
    <x v="13"/>
    <x v="135"/>
    <x v="188"/>
    <x v="4"/>
    <x v="1"/>
    <x v="1"/>
    <x v="76"/>
    <x v="246"/>
    <x v="80"/>
    <x v="29"/>
    <x v="0"/>
    <x v="0"/>
    <x v="33"/>
    <x v="32"/>
    <x v="2"/>
    <x v="6"/>
    <x v="30"/>
    <x v="37"/>
    <x v="225"/>
    <x v="219"/>
    <x v="0"/>
  </r>
  <r>
    <x v="91"/>
    <x v="0"/>
    <x v="153"/>
    <x v="6"/>
    <x v="148"/>
    <x v="18"/>
    <x v="0"/>
    <x v="1"/>
    <x v="1"/>
    <x v="141"/>
    <x v="288"/>
    <x v="79"/>
    <x v="41"/>
    <x v="0"/>
    <x v="0"/>
    <x v="25"/>
    <x v="37"/>
    <x v="12"/>
    <x v="2"/>
    <x v="35"/>
    <x v="38"/>
    <x v="84"/>
    <x v="360"/>
    <x v="0"/>
  </r>
  <r>
    <x v="92"/>
    <x v="2"/>
    <x v="87"/>
    <x v="33"/>
    <x v="14"/>
    <x v="60"/>
    <x v="2"/>
    <x v="0"/>
    <x v="1"/>
    <x v="61"/>
    <x v="56"/>
    <x v="78"/>
    <x v="13"/>
    <x v="3"/>
    <x v="18"/>
    <x v="9"/>
    <x v="18"/>
    <x v="11"/>
    <x v="17"/>
    <x v="7"/>
    <x v="25"/>
    <x v="389"/>
    <x v="55"/>
    <x v="0"/>
  </r>
  <r>
    <x v="92"/>
    <x v="4"/>
    <x v="77"/>
    <x v="38"/>
    <x v="150"/>
    <x v="187"/>
    <x v="4"/>
    <x v="1"/>
    <x v="1"/>
    <x v="124"/>
    <x v="53"/>
    <x v="78"/>
    <x v="15"/>
    <x v="10"/>
    <x v="12"/>
    <x v="19"/>
    <x v="38"/>
    <x v="17"/>
    <x v="3"/>
    <x v="15"/>
    <x v="36"/>
    <x v="368"/>
    <x v="76"/>
    <x v="0"/>
  </r>
  <r>
    <x v="93"/>
    <x v="6"/>
    <x v="58"/>
    <x v="33"/>
    <x v="14"/>
    <x v="3"/>
    <x v="6"/>
    <x v="1"/>
    <x v="1"/>
    <x v="327"/>
    <x v="41"/>
    <x v="77"/>
    <x v="18"/>
    <x v="4"/>
    <x v="1"/>
    <x v="9"/>
    <x v="18"/>
    <x v="11"/>
    <x v="17"/>
    <x v="7"/>
    <x v="25"/>
    <x v="341"/>
    <x v="103"/>
    <x v="0"/>
  </r>
  <r>
    <x v="94"/>
    <x v="6"/>
    <x v="54"/>
    <x v="37"/>
    <x v="109"/>
    <x v="98"/>
    <x v="6"/>
    <x v="0"/>
    <x v="0"/>
    <x v="83"/>
    <x v="39"/>
    <x v="76"/>
    <x v="28"/>
    <x v="5"/>
    <x v="29"/>
    <x v="21"/>
    <x v="34"/>
    <x v="22"/>
    <x v="30"/>
    <x v="9"/>
    <x v="23"/>
    <x v="232"/>
    <x v="212"/>
    <x v="0"/>
  </r>
  <r>
    <x v="95"/>
    <x v="8"/>
    <x v="461"/>
    <x v="6"/>
    <x v="189"/>
    <x v="130"/>
    <x v="8"/>
    <x v="1"/>
    <x v="1"/>
    <x v="380"/>
    <x v="103"/>
    <x v="75"/>
    <x v="36"/>
    <x v="4"/>
    <x v="21"/>
    <x v="25"/>
    <x v="37"/>
    <x v="12"/>
    <x v="2"/>
    <x v="35"/>
    <x v="38"/>
    <x v="144"/>
    <x v="300"/>
    <x v="0"/>
  </r>
  <r>
    <x v="96"/>
    <x v="0"/>
    <x v="453"/>
    <x v="6"/>
    <x v="15"/>
    <x v="12"/>
    <x v="0"/>
    <x v="1"/>
    <x v="1"/>
    <x v="372"/>
    <x v="138"/>
    <x v="74"/>
    <x v="38"/>
    <x v="2"/>
    <x v="0"/>
    <x v="25"/>
    <x v="37"/>
    <x v="12"/>
    <x v="2"/>
    <x v="35"/>
    <x v="38"/>
    <x v="123"/>
    <x v="321"/>
    <x v="0"/>
  </r>
  <r>
    <x v="97"/>
    <x v="10"/>
    <x v="138"/>
    <x v="27"/>
    <x v="190"/>
    <x v="165"/>
    <x v="10"/>
    <x v="1"/>
    <x v="1"/>
    <x v="118"/>
    <x v="43"/>
    <x v="73"/>
    <x v="1"/>
    <x v="5"/>
    <x v="26"/>
    <x v="12"/>
    <x v="9"/>
    <x v="31"/>
    <x v="13"/>
    <x v="1"/>
    <x v="2"/>
    <x v="443"/>
    <x v="1"/>
    <x v="0"/>
  </r>
  <r>
    <x v="98"/>
    <x v="2"/>
    <x v="224"/>
    <x v="13"/>
    <x v="135"/>
    <x v="48"/>
    <x v="2"/>
    <x v="0"/>
    <x v="1"/>
    <x v="32"/>
    <x v="166"/>
    <x v="72"/>
    <x v="41"/>
    <x v="5"/>
    <x v="13"/>
    <x v="33"/>
    <x v="32"/>
    <x v="2"/>
    <x v="6"/>
    <x v="30"/>
    <x v="37"/>
    <x v="80"/>
    <x v="364"/>
    <x v="0"/>
  </r>
  <r>
    <x v="98"/>
    <x v="10"/>
    <x v="11"/>
    <x v="22"/>
    <x v="100"/>
    <x v="40"/>
    <x v="10"/>
    <x v="1"/>
    <x v="1"/>
    <x v="79"/>
    <x v="8"/>
    <x v="72"/>
    <x v="31"/>
    <x v="3"/>
    <x v="9"/>
    <x v="36"/>
    <x v="15"/>
    <x v="0"/>
    <x v="1"/>
    <x v="13"/>
    <x v="33"/>
    <x v="193"/>
    <x v="251"/>
    <x v="0"/>
  </r>
  <r>
    <x v="99"/>
    <x v="2"/>
    <x v="155"/>
    <x v="37"/>
    <x v="109"/>
    <x v="196"/>
    <x v="2"/>
    <x v="0"/>
    <x v="1"/>
    <x v="236"/>
    <x v="116"/>
    <x v="71"/>
    <x v="29"/>
    <x v="9"/>
    <x v="1"/>
    <x v="21"/>
    <x v="34"/>
    <x v="22"/>
    <x v="30"/>
    <x v="9"/>
    <x v="23"/>
    <x v="214"/>
    <x v="230"/>
    <x v="0"/>
  </r>
  <r>
    <x v="100"/>
    <x v="8"/>
    <x v="60"/>
    <x v="6"/>
    <x v="33"/>
    <x v="104"/>
    <x v="8"/>
    <x v="1"/>
    <x v="1"/>
    <x v="62"/>
    <x v="25"/>
    <x v="70"/>
    <x v="39"/>
    <x v="8"/>
    <x v="0"/>
    <x v="25"/>
    <x v="37"/>
    <x v="12"/>
    <x v="2"/>
    <x v="35"/>
    <x v="38"/>
    <x v="96"/>
    <x v="348"/>
    <x v="0"/>
  </r>
  <r>
    <x v="101"/>
    <x v="9"/>
    <x v="199"/>
    <x v="37"/>
    <x v="109"/>
    <x v="196"/>
    <x v="9"/>
    <x v="1"/>
    <x v="1"/>
    <x v="107"/>
    <x v="147"/>
    <x v="69"/>
    <x v="19"/>
    <x v="1"/>
    <x v="0"/>
    <x v="21"/>
    <x v="34"/>
    <x v="22"/>
    <x v="30"/>
    <x v="9"/>
    <x v="23"/>
    <x v="332"/>
    <x v="112"/>
    <x v="0"/>
  </r>
  <r>
    <x v="101"/>
    <x v="1"/>
    <x v="88"/>
    <x v="38"/>
    <x v="3"/>
    <x v="31"/>
    <x v="1"/>
    <x v="1"/>
    <x v="0"/>
    <x v="137"/>
    <x v="57"/>
    <x v="69"/>
    <x v="21"/>
    <x v="2"/>
    <x v="1"/>
    <x v="19"/>
    <x v="38"/>
    <x v="17"/>
    <x v="3"/>
    <x v="15"/>
    <x v="36"/>
    <x v="311"/>
    <x v="133"/>
    <x v="0"/>
  </r>
  <r>
    <x v="101"/>
    <x v="16"/>
    <x v="173"/>
    <x v="38"/>
    <x v="7"/>
    <x v="233"/>
    <x v="16"/>
    <x v="1"/>
    <x v="1"/>
    <x v="169"/>
    <x v="128"/>
    <x v="69"/>
    <x v="50"/>
    <x v="1"/>
    <x v="23"/>
    <x v="19"/>
    <x v="38"/>
    <x v="17"/>
    <x v="3"/>
    <x v="15"/>
    <x v="36"/>
    <x v="27"/>
    <x v="417"/>
    <x v="0"/>
  </r>
  <r>
    <x v="102"/>
    <x v="15"/>
    <x v="183"/>
    <x v="38"/>
    <x v="41"/>
    <x v="56"/>
    <x v="15"/>
    <x v="1"/>
    <x v="1"/>
    <x v="153"/>
    <x v="136"/>
    <x v="68"/>
    <x v="16"/>
    <x v="9"/>
    <x v="12"/>
    <x v="19"/>
    <x v="38"/>
    <x v="17"/>
    <x v="3"/>
    <x v="15"/>
    <x v="36"/>
    <x v="359"/>
    <x v="85"/>
    <x v="0"/>
  </r>
  <r>
    <x v="102"/>
    <x v="3"/>
    <x v="128"/>
    <x v="38"/>
    <x v="205"/>
    <x v="154"/>
    <x v="3"/>
    <x v="0"/>
    <x v="1"/>
    <x v="154"/>
    <x v="90"/>
    <x v="68"/>
    <x v="16"/>
    <x v="6"/>
    <x v="28"/>
    <x v="19"/>
    <x v="38"/>
    <x v="17"/>
    <x v="3"/>
    <x v="15"/>
    <x v="36"/>
    <x v="363"/>
    <x v="81"/>
    <x v="0"/>
  </r>
  <r>
    <x v="103"/>
    <x v="0"/>
    <x v="254"/>
    <x v="6"/>
    <x v="65"/>
    <x v="13"/>
    <x v="0"/>
    <x v="1"/>
    <x v="1"/>
    <x v="203"/>
    <x v="343"/>
    <x v="67"/>
    <x v="36"/>
    <x v="11"/>
    <x v="27"/>
    <x v="25"/>
    <x v="37"/>
    <x v="12"/>
    <x v="2"/>
    <x v="35"/>
    <x v="38"/>
    <x v="136"/>
    <x v="308"/>
    <x v="0"/>
  </r>
  <r>
    <x v="104"/>
    <x v="13"/>
    <x v="146"/>
    <x v="0"/>
    <x v="199"/>
    <x v="182"/>
    <x v="13"/>
    <x v="1"/>
    <x v="1"/>
    <x v="356"/>
    <x v="107"/>
    <x v="66"/>
    <x v="7"/>
    <x v="2"/>
    <x v="2"/>
    <x v="22"/>
    <x v="25"/>
    <x v="28"/>
    <x v="23"/>
    <x v="27"/>
    <x v="13"/>
    <x v="424"/>
    <x v="20"/>
    <x v="0"/>
  </r>
  <r>
    <x v="105"/>
    <x v="5"/>
    <x v="429"/>
    <x v="13"/>
    <x v="135"/>
    <x v="14"/>
    <x v="5"/>
    <x v="1"/>
    <x v="1"/>
    <x v="168"/>
    <x v="323"/>
    <x v="65"/>
    <x v="33"/>
    <x v="2"/>
    <x v="14"/>
    <x v="33"/>
    <x v="32"/>
    <x v="2"/>
    <x v="6"/>
    <x v="30"/>
    <x v="37"/>
    <x v="172"/>
    <x v="272"/>
    <x v="0"/>
  </r>
  <r>
    <x v="105"/>
    <x v="15"/>
    <x v="392"/>
    <x v="38"/>
    <x v="50"/>
    <x v="209"/>
    <x v="15"/>
    <x v="1"/>
    <x v="1"/>
    <x v="175"/>
    <x v="297"/>
    <x v="65"/>
    <x v="21"/>
    <x v="6"/>
    <x v="28"/>
    <x v="19"/>
    <x v="38"/>
    <x v="17"/>
    <x v="3"/>
    <x v="15"/>
    <x v="36"/>
    <x v="308"/>
    <x v="136"/>
    <x v="0"/>
  </r>
  <r>
    <x v="106"/>
    <x v="3"/>
    <x v="298"/>
    <x v="37"/>
    <x v="109"/>
    <x v="156"/>
    <x v="3"/>
    <x v="1"/>
    <x v="1"/>
    <x v="109"/>
    <x v="213"/>
    <x v="64"/>
    <x v="38"/>
    <x v="3"/>
    <x v="20"/>
    <x v="21"/>
    <x v="34"/>
    <x v="22"/>
    <x v="30"/>
    <x v="9"/>
    <x v="23"/>
    <x v="119"/>
    <x v="325"/>
    <x v="0"/>
  </r>
  <r>
    <x v="107"/>
    <x v="3"/>
    <x v="377"/>
    <x v="33"/>
    <x v="14"/>
    <x v="66"/>
    <x v="3"/>
    <x v="1"/>
    <x v="1"/>
    <x v="278"/>
    <x v="277"/>
    <x v="63"/>
    <x v="39"/>
    <x v="6"/>
    <x v="11"/>
    <x v="9"/>
    <x v="18"/>
    <x v="11"/>
    <x v="17"/>
    <x v="7"/>
    <x v="25"/>
    <x v="97"/>
    <x v="347"/>
    <x v="0"/>
  </r>
  <r>
    <x v="108"/>
    <x v="12"/>
    <x v="68"/>
    <x v="6"/>
    <x v="219"/>
    <x v="45"/>
    <x v="12"/>
    <x v="1"/>
    <x v="1"/>
    <x v="77"/>
    <x v="349"/>
    <x v="62"/>
    <x v="47"/>
    <x v="1"/>
    <x v="0"/>
    <x v="25"/>
    <x v="37"/>
    <x v="12"/>
    <x v="2"/>
    <x v="35"/>
    <x v="38"/>
    <x v="37"/>
    <x v="407"/>
    <x v="0"/>
  </r>
  <r>
    <x v="108"/>
    <x v="8"/>
    <x v="185"/>
    <x v="6"/>
    <x v="38"/>
    <x v="228"/>
    <x v="8"/>
    <x v="1"/>
    <x v="1"/>
    <x v="148"/>
    <x v="259"/>
    <x v="62"/>
    <x v="27"/>
    <x v="9"/>
    <x v="7"/>
    <x v="25"/>
    <x v="37"/>
    <x v="12"/>
    <x v="2"/>
    <x v="35"/>
    <x v="38"/>
    <x v="238"/>
    <x v="206"/>
    <x v="0"/>
  </r>
  <r>
    <x v="109"/>
    <x v="0"/>
    <x v="384"/>
    <x v="38"/>
    <x v="138"/>
    <x v="11"/>
    <x v="0"/>
    <x v="1"/>
    <x v="1"/>
    <x v="160"/>
    <x v="282"/>
    <x v="61"/>
    <x v="24"/>
    <x v="6"/>
    <x v="17"/>
    <x v="19"/>
    <x v="38"/>
    <x v="17"/>
    <x v="3"/>
    <x v="15"/>
    <x v="36"/>
    <x v="275"/>
    <x v="169"/>
    <x v="0"/>
  </r>
  <r>
    <x v="110"/>
    <x v="16"/>
    <x v="230"/>
    <x v="38"/>
    <x v="156"/>
    <x v="9"/>
    <x v="16"/>
    <x v="0"/>
    <x v="0"/>
    <x v="264"/>
    <x v="173"/>
    <x v="60"/>
    <x v="37"/>
    <x v="10"/>
    <x v="5"/>
    <x v="19"/>
    <x v="38"/>
    <x v="17"/>
    <x v="3"/>
    <x v="15"/>
    <x v="36"/>
    <x v="127"/>
    <x v="317"/>
    <x v="0"/>
  </r>
  <r>
    <x v="111"/>
    <x v="13"/>
    <x v="398"/>
    <x v="38"/>
    <x v="143"/>
    <x v="182"/>
    <x v="13"/>
    <x v="1"/>
    <x v="1"/>
    <x v="295"/>
    <x v="300"/>
    <x v="59"/>
    <x v="14"/>
    <x v="4"/>
    <x v="9"/>
    <x v="19"/>
    <x v="38"/>
    <x v="17"/>
    <x v="3"/>
    <x v="15"/>
    <x v="36"/>
    <x v="379"/>
    <x v="65"/>
    <x v="0"/>
  </r>
  <r>
    <x v="112"/>
    <x v="16"/>
    <x v="323"/>
    <x v="36"/>
    <x v="46"/>
    <x v="133"/>
    <x v="16"/>
    <x v="1"/>
    <x v="1"/>
    <x v="91"/>
    <x v="235"/>
    <x v="58"/>
    <x v="58"/>
    <x v="9"/>
    <x v="9"/>
    <x v="13"/>
    <x v="13"/>
    <x v="16"/>
    <x v="0"/>
    <x v="0"/>
    <x v="7"/>
    <x v="5"/>
    <x v="439"/>
    <x v="0"/>
  </r>
  <r>
    <x v="112"/>
    <x v="8"/>
    <x v="15"/>
    <x v="12"/>
    <x v="200"/>
    <x v="172"/>
    <x v="8"/>
    <x v="1"/>
    <x v="1"/>
    <x v="342"/>
    <x v="11"/>
    <x v="58"/>
    <x v="24"/>
    <x v="1"/>
    <x v="15"/>
    <x v="8"/>
    <x v="35"/>
    <x v="20"/>
    <x v="8"/>
    <x v="28"/>
    <x v="26"/>
    <x v="282"/>
    <x v="162"/>
    <x v="0"/>
  </r>
  <r>
    <x v="112"/>
    <x v="8"/>
    <x v="423"/>
    <x v="12"/>
    <x v="200"/>
    <x v="172"/>
    <x v="8"/>
    <x v="1"/>
    <x v="1"/>
    <x v="342"/>
    <x v="317"/>
    <x v="58"/>
    <x v="24"/>
    <x v="1"/>
    <x v="15"/>
    <x v="8"/>
    <x v="35"/>
    <x v="20"/>
    <x v="8"/>
    <x v="28"/>
    <x v="26"/>
    <x v="282"/>
    <x v="162"/>
    <x v="0"/>
  </r>
  <r>
    <x v="113"/>
    <x v="6"/>
    <x v="249"/>
    <x v="6"/>
    <x v="35"/>
    <x v="0"/>
    <x v="6"/>
    <x v="1"/>
    <x v="1"/>
    <x v="196"/>
    <x v="105"/>
    <x v="57"/>
    <x v="38"/>
    <x v="0"/>
    <x v="0"/>
    <x v="25"/>
    <x v="37"/>
    <x v="12"/>
    <x v="2"/>
    <x v="35"/>
    <x v="38"/>
    <x v="125"/>
    <x v="319"/>
    <x v="0"/>
  </r>
  <r>
    <x v="113"/>
    <x v="4"/>
    <x v="293"/>
    <x v="38"/>
    <x v="29"/>
    <x v="161"/>
    <x v="4"/>
    <x v="1"/>
    <x v="1"/>
    <x v="298"/>
    <x v="209"/>
    <x v="57"/>
    <x v="46"/>
    <x v="6"/>
    <x v="20"/>
    <x v="19"/>
    <x v="38"/>
    <x v="17"/>
    <x v="3"/>
    <x v="15"/>
    <x v="36"/>
    <x v="40"/>
    <x v="404"/>
    <x v="0"/>
  </r>
  <r>
    <x v="114"/>
    <x v="5"/>
    <x v="160"/>
    <x v="38"/>
    <x v="143"/>
    <x v="97"/>
    <x v="5"/>
    <x v="1"/>
    <x v="1"/>
    <x v="95"/>
    <x v="120"/>
    <x v="56"/>
    <x v="22"/>
    <x v="8"/>
    <x v="29"/>
    <x v="19"/>
    <x v="38"/>
    <x v="17"/>
    <x v="3"/>
    <x v="15"/>
    <x v="36"/>
    <x v="297"/>
    <x v="147"/>
    <x v="0"/>
  </r>
  <r>
    <x v="114"/>
    <x v="10"/>
    <x v="432"/>
    <x v="15"/>
    <x v="74"/>
    <x v="73"/>
    <x v="10"/>
    <x v="1"/>
    <x v="1"/>
    <x v="155"/>
    <x v="326"/>
    <x v="56"/>
    <x v="27"/>
    <x v="8"/>
    <x v="7"/>
    <x v="2"/>
    <x v="11"/>
    <x v="29"/>
    <x v="24"/>
    <x v="4"/>
    <x v="6"/>
    <x v="240"/>
    <x v="204"/>
    <x v="0"/>
  </r>
  <r>
    <x v="114"/>
    <x v="10"/>
    <x v="26"/>
    <x v="0"/>
    <x v="121"/>
    <x v="124"/>
    <x v="10"/>
    <x v="0"/>
    <x v="1"/>
    <x v="266"/>
    <x v="17"/>
    <x v="56"/>
    <x v="34"/>
    <x v="3"/>
    <x v="10"/>
    <x v="22"/>
    <x v="25"/>
    <x v="28"/>
    <x v="23"/>
    <x v="27"/>
    <x v="13"/>
    <x v="165"/>
    <x v="279"/>
    <x v="0"/>
  </r>
  <r>
    <x v="114"/>
    <x v="5"/>
    <x v="299"/>
    <x v="32"/>
    <x v="58"/>
    <x v="114"/>
    <x v="5"/>
    <x v="1"/>
    <x v="1"/>
    <x v="269"/>
    <x v="213"/>
    <x v="56"/>
    <x v="39"/>
    <x v="4"/>
    <x v="2"/>
    <x v="0"/>
    <x v="20"/>
    <x v="33"/>
    <x v="4"/>
    <x v="5"/>
    <x v="4"/>
    <x v="98"/>
    <x v="346"/>
    <x v="0"/>
  </r>
  <r>
    <x v="115"/>
    <x v="4"/>
    <x v="136"/>
    <x v="16"/>
    <x v="126"/>
    <x v="122"/>
    <x v="4"/>
    <x v="1"/>
    <x v="1"/>
    <x v="14"/>
    <x v="96"/>
    <x v="55"/>
    <x v="8"/>
    <x v="6"/>
    <x v="10"/>
    <x v="6"/>
    <x v="30"/>
    <x v="30"/>
    <x v="28"/>
    <x v="34"/>
    <x v="22"/>
    <x v="419"/>
    <x v="25"/>
    <x v="0"/>
  </r>
  <r>
    <x v="115"/>
    <x v="4"/>
    <x v="194"/>
    <x v="28"/>
    <x v="31"/>
    <x v="122"/>
    <x v="4"/>
    <x v="0"/>
    <x v="1"/>
    <x v="299"/>
    <x v="146"/>
    <x v="55"/>
    <x v="24"/>
    <x v="5"/>
    <x v="0"/>
    <x v="31"/>
    <x v="7"/>
    <x v="1"/>
    <x v="31"/>
    <x v="6"/>
    <x v="21"/>
    <x v="278"/>
    <x v="166"/>
    <x v="0"/>
  </r>
  <r>
    <x v="116"/>
    <x v="16"/>
    <x v="469"/>
    <x v="6"/>
    <x v="189"/>
    <x v="111"/>
    <x v="16"/>
    <x v="1"/>
    <x v="1"/>
    <x v="387"/>
    <x v="359"/>
    <x v="54"/>
    <x v="46"/>
    <x v="0"/>
    <x v="0"/>
    <x v="25"/>
    <x v="37"/>
    <x v="12"/>
    <x v="2"/>
    <x v="35"/>
    <x v="38"/>
    <x v="42"/>
    <x v="402"/>
    <x v="0"/>
  </r>
  <r>
    <x v="117"/>
    <x v="5"/>
    <x v="327"/>
    <x v="38"/>
    <x v="44"/>
    <x v="68"/>
    <x v="5"/>
    <x v="0"/>
    <x v="1"/>
    <x v="9"/>
    <x v="237"/>
    <x v="53"/>
    <x v="13"/>
    <x v="11"/>
    <x v="27"/>
    <x v="19"/>
    <x v="38"/>
    <x v="17"/>
    <x v="3"/>
    <x v="15"/>
    <x v="36"/>
    <x v="382"/>
    <x v="62"/>
    <x v="0"/>
  </r>
  <r>
    <x v="117"/>
    <x v="4"/>
    <x v="213"/>
    <x v="38"/>
    <x v="150"/>
    <x v="88"/>
    <x v="4"/>
    <x v="1"/>
    <x v="0"/>
    <x v="200"/>
    <x v="153"/>
    <x v="53"/>
    <x v="11"/>
    <x v="5"/>
    <x v="16"/>
    <x v="19"/>
    <x v="38"/>
    <x v="17"/>
    <x v="3"/>
    <x v="15"/>
    <x v="36"/>
    <x v="403"/>
    <x v="41"/>
    <x v="0"/>
  </r>
  <r>
    <x v="117"/>
    <x v="4"/>
    <x v="351"/>
    <x v="19"/>
    <x v="122"/>
    <x v="189"/>
    <x v="4"/>
    <x v="0"/>
    <x v="1"/>
    <x v="305"/>
    <x v="261"/>
    <x v="53"/>
    <x v="29"/>
    <x v="9"/>
    <x v="18"/>
    <x v="29"/>
    <x v="24"/>
    <x v="8"/>
    <x v="13"/>
    <x v="32"/>
    <x v="30"/>
    <x v="213"/>
    <x v="231"/>
    <x v="0"/>
  </r>
  <r>
    <x v="118"/>
    <x v="11"/>
    <x v="98"/>
    <x v="38"/>
    <x v="143"/>
    <x v="128"/>
    <x v="11"/>
    <x v="0"/>
    <x v="1"/>
    <x v="232"/>
    <x v="63"/>
    <x v="52"/>
    <x v="3"/>
    <x v="7"/>
    <x v="4"/>
    <x v="19"/>
    <x v="38"/>
    <x v="17"/>
    <x v="3"/>
    <x v="15"/>
    <x v="36"/>
    <x v="436"/>
    <x v="8"/>
    <x v="0"/>
  </r>
  <r>
    <x v="119"/>
    <x v="15"/>
    <x v="360"/>
    <x v="38"/>
    <x v="27"/>
    <x v="126"/>
    <x v="15"/>
    <x v="1"/>
    <x v="1"/>
    <x v="171"/>
    <x v="266"/>
    <x v="51"/>
    <x v="15"/>
    <x v="5"/>
    <x v="4"/>
    <x v="19"/>
    <x v="38"/>
    <x v="17"/>
    <x v="3"/>
    <x v="15"/>
    <x v="36"/>
    <x v="370"/>
    <x v="74"/>
    <x v="0"/>
  </r>
  <r>
    <x v="119"/>
    <x v="6"/>
    <x v="268"/>
    <x v="3"/>
    <x v="183"/>
    <x v="20"/>
    <x v="6"/>
    <x v="1"/>
    <x v="1"/>
    <x v="349"/>
    <x v="195"/>
    <x v="51"/>
    <x v="24"/>
    <x v="0"/>
    <x v="0"/>
    <x v="32"/>
    <x v="29"/>
    <x v="9"/>
    <x v="15"/>
    <x v="37"/>
    <x v="34"/>
    <x v="283"/>
    <x v="161"/>
    <x v="0"/>
  </r>
  <r>
    <x v="120"/>
    <x v="5"/>
    <x v="404"/>
    <x v="26"/>
    <x v="132"/>
    <x v="90"/>
    <x v="5"/>
    <x v="1"/>
    <x v="1"/>
    <x v="159"/>
    <x v="304"/>
    <x v="50"/>
    <x v="40"/>
    <x v="2"/>
    <x v="11"/>
    <x v="34"/>
    <x v="27"/>
    <x v="7"/>
    <x v="7"/>
    <x v="24"/>
    <x v="32"/>
    <x v="90"/>
    <x v="354"/>
    <x v="0"/>
  </r>
  <r>
    <x v="120"/>
    <x v="4"/>
    <x v="388"/>
    <x v="6"/>
    <x v="65"/>
    <x v="61"/>
    <x v="4"/>
    <x v="1"/>
    <x v="1"/>
    <x v="380"/>
    <x v="294"/>
    <x v="50"/>
    <x v="58"/>
    <x v="0"/>
    <x v="0"/>
    <x v="25"/>
    <x v="37"/>
    <x v="12"/>
    <x v="2"/>
    <x v="35"/>
    <x v="38"/>
    <x v="8"/>
    <x v="436"/>
    <x v="0"/>
  </r>
  <r>
    <x v="120"/>
    <x v="5"/>
    <x v="53"/>
    <x v="36"/>
    <x v="46"/>
    <x v="55"/>
    <x v="5"/>
    <x v="1"/>
    <x v="1"/>
    <x v="388"/>
    <x v="38"/>
    <x v="50"/>
    <x v="51"/>
    <x v="8"/>
    <x v="9"/>
    <x v="13"/>
    <x v="13"/>
    <x v="16"/>
    <x v="0"/>
    <x v="0"/>
    <x v="7"/>
    <x v="26"/>
    <x v="418"/>
    <x v="0"/>
  </r>
  <r>
    <x v="121"/>
    <x v="5"/>
    <x v="19"/>
    <x v="38"/>
    <x v="41"/>
    <x v="17"/>
    <x v="5"/>
    <x v="1"/>
    <x v="1"/>
    <x v="22"/>
    <x v="13"/>
    <x v="49"/>
    <x v="26"/>
    <x v="10"/>
    <x v="28"/>
    <x v="19"/>
    <x v="38"/>
    <x v="17"/>
    <x v="3"/>
    <x v="15"/>
    <x v="36"/>
    <x v="247"/>
    <x v="197"/>
    <x v="0"/>
  </r>
  <r>
    <x v="122"/>
    <x v="16"/>
    <x v="297"/>
    <x v="0"/>
    <x v="199"/>
    <x v="200"/>
    <x v="16"/>
    <x v="1"/>
    <x v="1"/>
    <x v="54"/>
    <x v="212"/>
    <x v="48"/>
    <x v="53"/>
    <x v="10"/>
    <x v="16"/>
    <x v="22"/>
    <x v="25"/>
    <x v="28"/>
    <x v="23"/>
    <x v="27"/>
    <x v="13"/>
    <x v="22"/>
    <x v="422"/>
    <x v="0"/>
  </r>
  <r>
    <x v="122"/>
    <x v="8"/>
    <x v="48"/>
    <x v="38"/>
    <x v="22"/>
    <x v="130"/>
    <x v="8"/>
    <x v="0"/>
    <x v="1"/>
    <x v="73"/>
    <x v="34"/>
    <x v="48"/>
    <x v="36"/>
    <x v="7"/>
    <x v="18"/>
    <x v="19"/>
    <x v="38"/>
    <x v="17"/>
    <x v="3"/>
    <x v="15"/>
    <x v="36"/>
    <x v="140"/>
    <x v="304"/>
    <x v="0"/>
  </r>
  <r>
    <x v="122"/>
    <x v="16"/>
    <x v="75"/>
    <x v="38"/>
    <x v="84"/>
    <x v="32"/>
    <x v="16"/>
    <x v="1"/>
    <x v="1"/>
    <x v="89"/>
    <x v="53"/>
    <x v="48"/>
    <x v="14"/>
    <x v="8"/>
    <x v="20"/>
    <x v="19"/>
    <x v="38"/>
    <x v="17"/>
    <x v="3"/>
    <x v="15"/>
    <x v="36"/>
    <x v="377"/>
    <x v="67"/>
    <x v="0"/>
  </r>
  <r>
    <x v="122"/>
    <x v="3"/>
    <x v="181"/>
    <x v="38"/>
    <x v="80"/>
    <x v="152"/>
    <x v="3"/>
    <x v="1"/>
    <x v="1"/>
    <x v="139"/>
    <x v="134"/>
    <x v="48"/>
    <x v="33"/>
    <x v="2"/>
    <x v="4"/>
    <x v="19"/>
    <x v="38"/>
    <x v="17"/>
    <x v="3"/>
    <x v="15"/>
    <x v="36"/>
    <x v="173"/>
    <x v="271"/>
    <x v="0"/>
  </r>
  <r>
    <x v="122"/>
    <x v="10"/>
    <x v="436"/>
    <x v="26"/>
    <x v="115"/>
    <x v="211"/>
    <x v="10"/>
    <x v="1"/>
    <x v="1"/>
    <x v="277"/>
    <x v="330"/>
    <x v="48"/>
    <x v="22"/>
    <x v="9"/>
    <x v="12"/>
    <x v="34"/>
    <x v="27"/>
    <x v="7"/>
    <x v="7"/>
    <x v="24"/>
    <x v="32"/>
    <x v="296"/>
    <x v="148"/>
    <x v="0"/>
  </r>
  <r>
    <x v="122"/>
    <x v="16"/>
    <x v="101"/>
    <x v="27"/>
    <x v="190"/>
    <x v="70"/>
    <x v="16"/>
    <x v="1"/>
    <x v="1"/>
    <x v="308"/>
    <x v="66"/>
    <x v="48"/>
    <x v="56"/>
    <x v="2"/>
    <x v="18"/>
    <x v="12"/>
    <x v="9"/>
    <x v="31"/>
    <x v="13"/>
    <x v="1"/>
    <x v="2"/>
    <x v="13"/>
    <x v="431"/>
    <x v="0"/>
  </r>
  <r>
    <x v="122"/>
    <x v="0"/>
    <x v="126"/>
    <x v="12"/>
    <x v="75"/>
    <x v="11"/>
    <x v="0"/>
    <x v="0"/>
    <x v="1"/>
    <x v="310"/>
    <x v="89"/>
    <x v="48"/>
    <x v="38"/>
    <x v="9"/>
    <x v="18"/>
    <x v="8"/>
    <x v="35"/>
    <x v="20"/>
    <x v="8"/>
    <x v="28"/>
    <x v="26"/>
    <x v="108"/>
    <x v="336"/>
    <x v="0"/>
  </r>
  <r>
    <x v="122"/>
    <x v="4"/>
    <x v="63"/>
    <x v="38"/>
    <x v="88"/>
    <x v="231"/>
    <x v="4"/>
    <x v="0"/>
    <x v="0"/>
    <x v="367"/>
    <x v="46"/>
    <x v="48"/>
    <x v="23"/>
    <x v="1"/>
    <x v="7"/>
    <x v="19"/>
    <x v="38"/>
    <x v="17"/>
    <x v="3"/>
    <x v="15"/>
    <x v="36"/>
    <x v="292"/>
    <x v="152"/>
    <x v="0"/>
  </r>
  <r>
    <x v="123"/>
    <x v="16"/>
    <x v="380"/>
    <x v="0"/>
    <x v="199"/>
    <x v="200"/>
    <x v="16"/>
    <x v="1"/>
    <x v="1"/>
    <x v="97"/>
    <x v="279"/>
    <x v="47"/>
    <x v="53"/>
    <x v="11"/>
    <x v="16"/>
    <x v="22"/>
    <x v="25"/>
    <x v="28"/>
    <x v="23"/>
    <x v="27"/>
    <x v="13"/>
    <x v="21"/>
    <x v="423"/>
    <x v="0"/>
  </r>
  <r>
    <x v="123"/>
    <x v="2"/>
    <x v="335"/>
    <x v="18"/>
    <x v="96"/>
    <x v="15"/>
    <x v="2"/>
    <x v="0"/>
    <x v="1"/>
    <x v="274"/>
    <x v="176"/>
    <x v="47"/>
    <x v="15"/>
    <x v="7"/>
    <x v="11"/>
    <x v="24"/>
    <x v="8"/>
    <x v="10"/>
    <x v="10"/>
    <x v="16"/>
    <x v="14"/>
    <x v="369"/>
    <x v="75"/>
    <x v="0"/>
  </r>
  <r>
    <x v="123"/>
    <x v="13"/>
    <x v="459"/>
    <x v="6"/>
    <x v="16"/>
    <x v="182"/>
    <x v="13"/>
    <x v="1"/>
    <x v="0"/>
    <x v="378"/>
    <x v="347"/>
    <x v="47"/>
    <x v="38"/>
    <x v="0"/>
    <x v="0"/>
    <x v="25"/>
    <x v="37"/>
    <x v="12"/>
    <x v="2"/>
    <x v="35"/>
    <x v="38"/>
    <x v="125"/>
    <x v="319"/>
    <x v="0"/>
  </r>
  <r>
    <x v="124"/>
    <x v="3"/>
    <x v="35"/>
    <x v="38"/>
    <x v="125"/>
    <x v="152"/>
    <x v="3"/>
    <x v="1"/>
    <x v="1"/>
    <x v="337"/>
    <x v="23"/>
    <x v="46"/>
    <x v="12"/>
    <x v="2"/>
    <x v="7"/>
    <x v="19"/>
    <x v="38"/>
    <x v="17"/>
    <x v="3"/>
    <x v="15"/>
    <x v="36"/>
    <x v="395"/>
    <x v="49"/>
    <x v="0"/>
  </r>
  <r>
    <x v="125"/>
    <x v="14"/>
    <x v="252"/>
    <x v="6"/>
    <x v="188"/>
    <x v="60"/>
    <x v="14"/>
    <x v="1"/>
    <x v="1"/>
    <x v="196"/>
    <x v="354"/>
    <x v="45"/>
    <x v="22"/>
    <x v="5"/>
    <x v="0"/>
    <x v="25"/>
    <x v="37"/>
    <x v="12"/>
    <x v="2"/>
    <x v="35"/>
    <x v="38"/>
    <x v="300"/>
    <x v="144"/>
    <x v="0"/>
  </r>
  <r>
    <x v="126"/>
    <x v="2"/>
    <x v="439"/>
    <x v="36"/>
    <x v="46"/>
    <x v="108"/>
    <x v="2"/>
    <x v="1"/>
    <x v="1"/>
    <x v="2"/>
    <x v="332"/>
    <x v="44"/>
    <x v="23"/>
    <x v="0"/>
    <x v="9"/>
    <x v="13"/>
    <x v="13"/>
    <x v="16"/>
    <x v="0"/>
    <x v="0"/>
    <x v="7"/>
    <x v="294"/>
    <x v="150"/>
    <x v="0"/>
  </r>
  <r>
    <x v="126"/>
    <x v="4"/>
    <x v="311"/>
    <x v="32"/>
    <x v="119"/>
    <x v="99"/>
    <x v="4"/>
    <x v="0"/>
    <x v="1"/>
    <x v="270"/>
    <x v="226"/>
    <x v="44"/>
    <x v="17"/>
    <x v="0"/>
    <x v="28"/>
    <x v="0"/>
    <x v="20"/>
    <x v="33"/>
    <x v="4"/>
    <x v="5"/>
    <x v="4"/>
    <x v="353"/>
    <x v="91"/>
    <x v="0"/>
  </r>
  <r>
    <x v="126"/>
    <x v="9"/>
    <x v="167"/>
    <x v="11"/>
    <x v="118"/>
    <x v="196"/>
    <x v="9"/>
    <x v="0"/>
    <x v="1"/>
    <x v="301"/>
    <x v="126"/>
    <x v="44"/>
    <x v="45"/>
    <x v="7"/>
    <x v="9"/>
    <x v="3"/>
    <x v="33"/>
    <x v="26"/>
    <x v="27"/>
    <x v="36"/>
    <x v="24"/>
    <x v="47"/>
    <x v="397"/>
    <x v="0"/>
  </r>
  <r>
    <x v="126"/>
    <x v="9"/>
    <x v="368"/>
    <x v="11"/>
    <x v="118"/>
    <x v="196"/>
    <x v="9"/>
    <x v="0"/>
    <x v="1"/>
    <x v="301"/>
    <x v="270"/>
    <x v="44"/>
    <x v="44"/>
    <x v="2"/>
    <x v="2"/>
    <x v="3"/>
    <x v="33"/>
    <x v="26"/>
    <x v="27"/>
    <x v="36"/>
    <x v="24"/>
    <x v="57"/>
    <x v="387"/>
    <x v="0"/>
  </r>
  <r>
    <x v="126"/>
    <x v="9"/>
    <x v="412"/>
    <x v="11"/>
    <x v="118"/>
    <x v="196"/>
    <x v="9"/>
    <x v="0"/>
    <x v="0"/>
    <x v="302"/>
    <x v="311"/>
    <x v="44"/>
    <x v="42"/>
    <x v="1"/>
    <x v="0"/>
    <x v="3"/>
    <x v="33"/>
    <x v="26"/>
    <x v="27"/>
    <x v="36"/>
    <x v="24"/>
    <x v="72"/>
    <x v="372"/>
    <x v="0"/>
  </r>
  <r>
    <x v="126"/>
    <x v="5"/>
    <x v="282"/>
    <x v="31"/>
    <x v="195"/>
    <x v="114"/>
    <x v="5"/>
    <x v="1"/>
    <x v="1"/>
    <x v="314"/>
    <x v="208"/>
    <x v="44"/>
    <x v="21"/>
    <x v="4"/>
    <x v="14"/>
    <x v="5"/>
    <x v="17"/>
    <x v="26"/>
    <x v="32"/>
    <x v="29"/>
    <x v="8"/>
    <x v="309"/>
    <x v="135"/>
    <x v="0"/>
  </r>
  <r>
    <x v="127"/>
    <x v="10"/>
    <x v="17"/>
    <x v="26"/>
    <x v="132"/>
    <x v="74"/>
    <x v="10"/>
    <x v="1"/>
    <x v="1"/>
    <x v="127"/>
    <x v="12"/>
    <x v="43"/>
    <x v="34"/>
    <x v="2"/>
    <x v="23"/>
    <x v="34"/>
    <x v="27"/>
    <x v="7"/>
    <x v="7"/>
    <x v="24"/>
    <x v="32"/>
    <x v="167"/>
    <x v="277"/>
    <x v="0"/>
  </r>
  <r>
    <x v="127"/>
    <x v="5"/>
    <x v="288"/>
    <x v="29"/>
    <x v="187"/>
    <x v="180"/>
    <x v="5"/>
    <x v="1"/>
    <x v="1"/>
    <x v="161"/>
    <x v="209"/>
    <x v="43"/>
    <x v="37"/>
    <x v="9"/>
    <x v="0"/>
    <x v="14"/>
    <x v="31"/>
    <x v="27"/>
    <x v="18"/>
    <x v="10"/>
    <x v="20"/>
    <x v="129"/>
    <x v="315"/>
    <x v="0"/>
  </r>
  <r>
    <x v="127"/>
    <x v="16"/>
    <x v="232"/>
    <x v="6"/>
    <x v="16"/>
    <x v="197"/>
    <x v="16"/>
    <x v="1"/>
    <x v="1"/>
    <x v="188"/>
    <x v="155"/>
    <x v="43"/>
    <x v="43"/>
    <x v="11"/>
    <x v="15"/>
    <x v="25"/>
    <x v="37"/>
    <x v="12"/>
    <x v="2"/>
    <x v="35"/>
    <x v="38"/>
    <x v="60"/>
    <x v="384"/>
    <x v="0"/>
  </r>
  <r>
    <x v="127"/>
    <x v="10"/>
    <x v="120"/>
    <x v="12"/>
    <x v="66"/>
    <x v="124"/>
    <x v="10"/>
    <x v="0"/>
    <x v="1"/>
    <x v="197"/>
    <x v="83"/>
    <x v="43"/>
    <x v="20"/>
    <x v="7"/>
    <x v="14"/>
    <x v="8"/>
    <x v="35"/>
    <x v="20"/>
    <x v="8"/>
    <x v="28"/>
    <x v="26"/>
    <x v="314"/>
    <x v="130"/>
    <x v="0"/>
  </r>
  <r>
    <x v="127"/>
    <x v="8"/>
    <x v="406"/>
    <x v="6"/>
    <x v="107"/>
    <x v="172"/>
    <x v="8"/>
    <x v="1"/>
    <x v="1"/>
    <x v="345"/>
    <x v="239"/>
    <x v="43"/>
    <x v="32"/>
    <x v="8"/>
    <x v="0"/>
    <x v="25"/>
    <x v="37"/>
    <x v="12"/>
    <x v="2"/>
    <x v="35"/>
    <x v="38"/>
    <x v="178"/>
    <x v="266"/>
    <x v="0"/>
  </r>
  <r>
    <x v="127"/>
    <x v="8"/>
    <x v="406"/>
    <x v="6"/>
    <x v="107"/>
    <x v="172"/>
    <x v="8"/>
    <x v="1"/>
    <x v="1"/>
    <x v="345"/>
    <x v="239"/>
    <x v="43"/>
    <x v="32"/>
    <x v="8"/>
    <x v="0"/>
    <x v="25"/>
    <x v="37"/>
    <x v="12"/>
    <x v="2"/>
    <x v="35"/>
    <x v="38"/>
    <x v="178"/>
    <x v="266"/>
    <x v="0"/>
  </r>
  <r>
    <x v="127"/>
    <x v="8"/>
    <x v="406"/>
    <x v="6"/>
    <x v="107"/>
    <x v="172"/>
    <x v="8"/>
    <x v="1"/>
    <x v="1"/>
    <x v="345"/>
    <x v="239"/>
    <x v="43"/>
    <x v="32"/>
    <x v="8"/>
    <x v="0"/>
    <x v="25"/>
    <x v="37"/>
    <x v="12"/>
    <x v="2"/>
    <x v="35"/>
    <x v="38"/>
    <x v="178"/>
    <x v="266"/>
    <x v="0"/>
  </r>
  <r>
    <x v="128"/>
    <x v="16"/>
    <x v="356"/>
    <x v="38"/>
    <x v="93"/>
    <x v="232"/>
    <x v="16"/>
    <x v="0"/>
    <x v="1"/>
    <x v="69"/>
    <x v="263"/>
    <x v="42"/>
    <x v="26"/>
    <x v="6"/>
    <x v="24"/>
    <x v="19"/>
    <x v="38"/>
    <x v="17"/>
    <x v="3"/>
    <x v="15"/>
    <x v="36"/>
    <x v="253"/>
    <x v="191"/>
    <x v="0"/>
  </r>
  <r>
    <x v="128"/>
    <x v="3"/>
    <x v="191"/>
    <x v="6"/>
    <x v="218"/>
    <x v="204"/>
    <x v="3"/>
    <x v="1"/>
    <x v="1"/>
    <x v="150"/>
    <x v="26"/>
    <x v="42"/>
    <x v="26"/>
    <x v="8"/>
    <x v="0"/>
    <x v="25"/>
    <x v="37"/>
    <x v="12"/>
    <x v="2"/>
    <x v="35"/>
    <x v="38"/>
    <x v="250"/>
    <x v="194"/>
    <x v="0"/>
  </r>
  <r>
    <x v="128"/>
    <x v="10"/>
    <x v="258"/>
    <x v="6"/>
    <x v="147"/>
    <x v="43"/>
    <x v="10"/>
    <x v="1"/>
    <x v="1"/>
    <x v="205"/>
    <x v="183"/>
    <x v="42"/>
    <x v="30"/>
    <x v="2"/>
    <x v="0"/>
    <x v="25"/>
    <x v="37"/>
    <x v="12"/>
    <x v="2"/>
    <x v="35"/>
    <x v="38"/>
    <x v="207"/>
    <x v="237"/>
    <x v="0"/>
  </r>
  <r>
    <x v="128"/>
    <x v="6"/>
    <x v="273"/>
    <x v="38"/>
    <x v="111"/>
    <x v="34"/>
    <x v="6"/>
    <x v="0"/>
    <x v="0"/>
    <x v="211"/>
    <x v="200"/>
    <x v="42"/>
    <x v="38"/>
    <x v="6"/>
    <x v="27"/>
    <x v="19"/>
    <x v="38"/>
    <x v="17"/>
    <x v="3"/>
    <x v="15"/>
    <x v="36"/>
    <x v="117"/>
    <x v="327"/>
    <x v="0"/>
  </r>
  <r>
    <x v="128"/>
    <x v="6"/>
    <x v="314"/>
    <x v="38"/>
    <x v="5"/>
    <x v="34"/>
    <x v="6"/>
    <x v="0"/>
    <x v="0"/>
    <x v="211"/>
    <x v="229"/>
    <x v="42"/>
    <x v="34"/>
    <x v="7"/>
    <x v="0"/>
    <x v="19"/>
    <x v="38"/>
    <x v="17"/>
    <x v="3"/>
    <x v="15"/>
    <x v="36"/>
    <x v="163"/>
    <x v="281"/>
    <x v="0"/>
  </r>
  <r>
    <x v="128"/>
    <x v="6"/>
    <x v="431"/>
    <x v="38"/>
    <x v="143"/>
    <x v="34"/>
    <x v="6"/>
    <x v="0"/>
    <x v="0"/>
    <x v="211"/>
    <x v="325"/>
    <x v="42"/>
    <x v="33"/>
    <x v="0"/>
    <x v="25"/>
    <x v="19"/>
    <x v="38"/>
    <x v="17"/>
    <x v="3"/>
    <x v="15"/>
    <x v="36"/>
    <x v="175"/>
    <x v="269"/>
    <x v="0"/>
  </r>
  <r>
    <x v="128"/>
    <x v="6"/>
    <x v="434"/>
    <x v="38"/>
    <x v="160"/>
    <x v="34"/>
    <x v="6"/>
    <x v="0"/>
    <x v="0"/>
    <x v="211"/>
    <x v="328"/>
    <x v="42"/>
    <x v="30"/>
    <x v="11"/>
    <x v="14"/>
    <x v="19"/>
    <x v="38"/>
    <x v="17"/>
    <x v="3"/>
    <x v="15"/>
    <x v="36"/>
    <x v="198"/>
    <x v="246"/>
    <x v="0"/>
  </r>
  <r>
    <x v="129"/>
    <x v="5"/>
    <x v="438"/>
    <x v="11"/>
    <x v="157"/>
    <x v="114"/>
    <x v="5"/>
    <x v="0"/>
    <x v="1"/>
    <x v="42"/>
    <x v="331"/>
    <x v="41"/>
    <x v="26"/>
    <x v="3"/>
    <x v="0"/>
    <x v="3"/>
    <x v="33"/>
    <x v="26"/>
    <x v="27"/>
    <x v="36"/>
    <x v="24"/>
    <x v="255"/>
    <x v="189"/>
    <x v="0"/>
  </r>
  <r>
    <x v="129"/>
    <x v="2"/>
    <x v="188"/>
    <x v="4"/>
    <x v="207"/>
    <x v="60"/>
    <x v="2"/>
    <x v="1"/>
    <x v="1"/>
    <x v="248"/>
    <x v="143"/>
    <x v="41"/>
    <x v="2"/>
    <x v="9"/>
    <x v="0"/>
    <x v="17"/>
    <x v="28"/>
    <x v="25"/>
    <x v="12"/>
    <x v="3"/>
    <x v="15"/>
    <x v="441"/>
    <x v="3"/>
    <x v="0"/>
  </r>
  <r>
    <x v="130"/>
    <x v="8"/>
    <x v="113"/>
    <x v="32"/>
    <x v="64"/>
    <x v="27"/>
    <x v="8"/>
    <x v="0"/>
    <x v="1"/>
    <x v="26"/>
    <x v="76"/>
    <x v="40"/>
    <x v="39"/>
    <x v="8"/>
    <x v="21"/>
    <x v="0"/>
    <x v="20"/>
    <x v="33"/>
    <x v="4"/>
    <x v="5"/>
    <x v="4"/>
    <x v="95"/>
    <x v="349"/>
    <x v="0"/>
  </r>
  <r>
    <x v="130"/>
    <x v="16"/>
    <x v="449"/>
    <x v="6"/>
    <x v="16"/>
    <x v="82"/>
    <x v="16"/>
    <x v="1"/>
    <x v="1"/>
    <x v="369"/>
    <x v="344"/>
    <x v="40"/>
    <x v="53"/>
    <x v="1"/>
    <x v="17"/>
    <x v="25"/>
    <x v="37"/>
    <x v="12"/>
    <x v="2"/>
    <x v="35"/>
    <x v="38"/>
    <x v="23"/>
    <x v="421"/>
    <x v="0"/>
  </r>
  <r>
    <x v="131"/>
    <x v="16"/>
    <x v="42"/>
    <x v="38"/>
    <x v="178"/>
    <x v="2"/>
    <x v="16"/>
    <x v="1"/>
    <x v="1"/>
    <x v="64"/>
    <x v="31"/>
    <x v="39"/>
    <x v="55"/>
    <x v="7"/>
    <x v="28"/>
    <x v="19"/>
    <x v="38"/>
    <x v="17"/>
    <x v="3"/>
    <x v="15"/>
    <x v="36"/>
    <x v="15"/>
    <x v="429"/>
    <x v="0"/>
  </r>
  <r>
    <x v="131"/>
    <x v="10"/>
    <x v="169"/>
    <x v="37"/>
    <x v="61"/>
    <x v="229"/>
    <x v="10"/>
    <x v="1"/>
    <x v="1"/>
    <x v="92"/>
    <x v="127"/>
    <x v="39"/>
    <x v="21"/>
    <x v="4"/>
    <x v="1"/>
    <x v="21"/>
    <x v="34"/>
    <x v="22"/>
    <x v="30"/>
    <x v="9"/>
    <x v="23"/>
    <x v="310"/>
    <x v="134"/>
    <x v="0"/>
  </r>
  <r>
    <x v="132"/>
    <x v="2"/>
    <x v="370"/>
    <x v="26"/>
    <x v="132"/>
    <x v="213"/>
    <x v="2"/>
    <x v="1"/>
    <x v="1"/>
    <x v="1"/>
    <x v="272"/>
    <x v="38"/>
    <x v="40"/>
    <x v="9"/>
    <x v="23"/>
    <x v="34"/>
    <x v="27"/>
    <x v="7"/>
    <x v="7"/>
    <x v="24"/>
    <x v="32"/>
    <x v="86"/>
    <x v="358"/>
    <x v="0"/>
  </r>
  <r>
    <x v="132"/>
    <x v="2"/>
    <x v="28"/>
    <x v="31"/>
    <x v="195"/>
    <x v="60"/>
    <x v="2"/>
    <x v="0"/>
    <x v="0"/>
    <x v="17"/>
    <x v="18"/>
    <x v="38"/>
    <x v="17"/>
    <x v="8"/>
    <x v="5"/>
    <x v="5"/>
    <x v="17"/>
    <x v="26"/>
    <x v="32"/>
    <x v="29"/>
    <x v="8"/>
    <x v="346"/>
    <x v="98"/>
    <x v="0"/>
  </r>
  <r>
    <x v="132"/>
    <x v="3"/>
    <x v="70"/>
    <x v="8"/>
    <x v="164"/>
    <x v="67"/>
    <x v="3"/>
    <x v="1"/>
    <x v="1"/>
    <x v="173"/>
    <x v="51"/>
    <x v="38"/>
    <x v="49"/>
    <x v="6"/>
    <x v="8"/>
    <x v="16"/>
    <x v="2"/>
    <x v="18"/>
    <x v="17"/>
    <x v="23"/>
    <x v="9"/>
    <x v="31"/>
    <x v="413"/>
    <x v="0"/>
  </r>
  <r>
    <x v="132"/>
    <x v="11"/>
    <x v="201"/>
    <x v="38"/>
    <x v="51"/>
    <x v="33"/>
    <x v="11"/>
    <x v="1"/>
    <x v="1"/>
    <x v="208"/>
    <x v="147"/>
    <x v="38"/>
    <x v="15"/>
    <x v="2"/>
    <x v="6"/>
    <x v="19"/>
    <x v="38"/>
    <x v="17"/>
    <x v="3"/>
    <x v="15"/>
    <x v="36"/>
    <x v="375"/>
    <x v="69"/>
    <x v="0"/>
  </r>
  <r>
    <x v="132"/>
    <x v="16"/>
    <x v="36"/>
    <x v="13"/>
    <x v="13"/>
    <x v="201"/>
    <x v="16"/>
    <x v="0"/>
    <x v="1"/>
    <x v="267"/>
    <x v="24"/>
    <x v="38"/>
    <x v="19"/>
    <x v="6"/>
    <x v="23"/>
    <x v="33"/>
    <x v="32"/>
    <x v="2"/>
    <x v="6"/>
    <x v="30"/>
    <x v="37"/>
    <x v="323"/>
    <x v="121"/>
    <x v="0"/>
  </r>
  <r>
    <x v="132"/>
    <x v="5"/>
    <x v="57"/>
    <x v="38"/>
    <x v="215"/>
    <x v="59"/>
    <x v="5"/>
    <x v="1"/>
    <x v="1"/>
    <x v="315"/>
    <x v="40"/>
    <x v="38"/>
    <x v="11"/>
    <x v="6"/>
    <x v="28"/>
    <x v="19"/>
    <x v="38"/>
    <x v="17"/>
    <x v="3"/>
    <x v="15"/>
    <x v="36"/>
    <x v="402"/>
    <x v="42"/>
    <x v="0"/>
  </r>
  <r>
    <x v="132"/>
    <x v="4"/>
    <x v="111"/>
    <x v="38"/>
    <x v="18"/>
    <x v="93"/>
    <x v="4"/>
    <x v="1"/>
    <x v="1"/>
    <x v="330"/>
    <x v="74"/>
    <x v="38"/>
    <x v="34"/>
    <x v="0"/>
    <x v="0"/>
    <x v="19"/>
    <x v="38"/>
    <x v="17"/>
    <x v="3"/>
    <x v="15"/>
    <x v="36"/>
    <x v="169"/>
    <x v="275"/>
    <x v="0"/>
  </r>
  <r>
    <x v="133"/>
    <x v="16"/>
    <x v="74"/>
    <x v="38"/>
    <x v="156"/>
    <x v="91"/>
    <x v="16"/>
    <x v="1"/>
    <x v="1"/>
    <x v="63"/>
    <x v="53"/>
    <x v="37"/>
    <x v="25"/>
    <x v="2"/>
    <x v="28"/>
    <x v="19"/>
    <x v="38"/>
    <x v="17"/>
    <x v="3"/>
    <x v="15"/>
    <x v="36"/>
    <x v="268"/>
    <x v="176"/>
    <x v="0"/>
  </r>
  <r>
    <x v="133"/>
    <x v="12"/>
    <x v="161"/>
    <x v="32"/>
    <x v="172"/>
    <x v="139"/>
    <x v="12"/>
    <x v="1"/>
    <x v="1"/>
    <x v="117"/>
    <x v="121"/>
    <x v="37"/>
    <x v="31"/>
    <x v="0"/>
    <x v="6"/>
    <x v="0"/>
    <x v="20"/>
    <x v="33"/>
    <x v="4"/>
    <x v="5"/>
    <x v="4"/>
    <x v="197"/>
    <x v="247"/>
    <x v="0"/>
  </r>
  <r>
    <x v="133"/>
    <x v="13"/>
    <x v="7"/>
    <x v="12"/>
    <x v="67"/>
    <x v="182"/>
    <x v="13"/>
    <x v="0"/>
    <x v="1"/>
    <x v="242"/>
    <x v="4"/>
    <x v="37"/>
    <x v="41"/>
    <x v="6"/>
    <x v="6"/>
    <x v="8"/>
    <x v="35"/>
    <x v="20"/>
    <x v="8"/>
    <x v="28"/>
    <x v="26"/>
    <x v="77"/>
    <x v="367"/>
    <x v="0"/>
  </r>
  <r>
    <x v="133"/>
    <x v="6"/>
    <x v="27"/>
    <x v="4"/>
    <x v="207"/>
    <x v="4"/>
    <x v="6"/>
    <x v="1"/>
    <x v="1"/>
    <x v="364"/>
    <x v="17"/>
    <x v="37"/>
    <x v="24"/>
    <x v="2"/>
    <x v="9"/>
    <x v="17"/>
    <x v="28"/>
    <x v="25"/>
    <x v="12"/>
    <x v="3"/>
    <x v="15"/>
    <x v="281"/>
    <x v="163"/>
    <x v="0"/>
  </r>
  <r>
    <x v="133"/>
    <x v="10"/>
    <x v="446"/>
    <x v="6"/>
    <x v="34"/>
    <x v="107"/>
    <x v="10"/>
    <x v="1"/>
    <x v="1"/>
    <x v="369"/>
    <x v="184"/>
    <x v="37"/>
    <x v="40"/>
    <x v="1"/>
    <x v="23"/>
    <x v="25"/>
    <x v="37"/>
    <x v="12"/>
    <x v="2"/>
    <x v="35"/>
    <x v="38"/>
    <x v="91"/>
    <x v="353"/>
    <x v="0"/>
  </r>
  <r>
    <x v="134"/>
    <x v="6"/>
    <x v="114"/>
    <x v="37"/>
    <x v="109"/>
    <x v="164"/>
    <x v="6"/>
    <x v="0"/>
    <x v="1"/>
    <x v="280"/>
    <x v="77"/>
    <x v="36"/>
    <x v="29"/>
    <x v="0"/>
    <x v="0"/>
    <x v="21"/>
    <x v="34"/>
    <x v="22"/>
    <x v="30"/>
    <x v="9"/>
    <x v="23"/>
    <x v="225"/>
    <x v="219"/>
    <x v="0"/>
  </r>
  <r>
    <x v="134"/>
    <x v="6"/>
    <x v="209"/>
    <x v="37"/>
    <x v="197"/>
    <x v="164"/>
    <x v="6"/>
    <x v="0"/>
    <x v="1"/>
    <x v="280"/>
    <x v="150"/>
    <x v="36"/>
    <x v="34"/>
    <x v="0"/>
    <x v="0"/>
    <x v="21"/>
    <x v="34"/>
    <x v="22"/>
    <x v="30"/>
    <x v="9"/>
    <x v="23"/>
    <x v="169"/>
    <x v="275"/>
    <x v="0"/>
  </r>
  <r>
    <x v="134"/>
    <x v="6"/>
    <x v="221"/>
    <x v="37"/>
    <x v="144"/>
    <x v="164"/>
    <x v="6"/>
    <x v="0"/>
    <x v="0"/>
    <x v="280"/>
    <x v="162"/>
    <x v="36"/>
    <x v="26"/>
    <x v="5"/>
    <x v="5"/>
    <x v="21"/>
    <x v="34"/>
    <x v="22"/>
    <x v="30"/>
    <x v="9"/>
    <x v="23"/>
    <x v="254"/>
    <x v="190"/>
    <x v="0"/>
  </r>
  <r>
    <x v="135"/>
    <x v="4"/>
    <x v="413"/>
    <x v="26"/>
    <x v="133"/>
    <x v="63"/>
    <x v="4"/>
    <x v="1"/>
    <x v="0"/>
    <x v="18"/>
    <x v="312"/>
    <x v="35"/>
    <x v="49"/>
    <x v="9"/>
    <x v="15"/>
    <x v="34"/>
    <x v="27"/>
    <x v="7"/>
    <x v="7"/>
    <x v="24"/>
    <x v="32"/>
    <x v="30"/>
    <x v="414"/>
    <x v="0"/>
  </r>
  <r>
    <x v="135"/>
    <x v="16"/>
    <x v="198"/>
    <x v="38"/>
    <x v="215"/>
    <x v="230"/>
    <x v="16"/>
    <x v="1"/>
    <x v="1"/>
    <x v="86"/>
    <x v="147"/>
    <x v="35"/>
    <x v="25"/>
    <x v="5"/>
    <x v="28"/>
    <x v="19"/>
    <x v="38"/>
    <x v="17"/>
    <x v="3"/>
    <x v="15"/>
    <x v="36"/>
    <x v="265"/>
    <x v="179"/>
    <x v="0"/>
  </r>
  <r>
    <x v="135"/>
    <x v="16"/>
    <x v="353"/>
    <x v="6"/>
    <x v="16"/>
    <x v="61"/>
    <x v="16"/>
    <x v="1"/>
    <x v="1"/>
    <x v="196"/>
    <x v="262"/>
    <x v="35"/>
    <x v="48"/>
    <x v="2"/>
    <x v="9"/>
    <x v="25"/>
    <x v="37"/>
    <x v="12"/>
    <x v="2"/>
    <x v="35"/>
    <x v="38"/>
    <x v="33"/>
    <x v="411"/>
    <x v="0"/>
  </r>
  <r>
    <x v="135"/>
    <x v="16"/>
    <x v="100"/>
    <x v="38"/>
    <x v="178"/>
    <x v="70"/>
    <x v="16"/>
    <x v="1"/>
    <x v="1"/>
    <x v="227"/>
    <x v="65"/>
    <x v="35"/>
    <x v="58"/>
    <x v="4"/>
    <x v="21"/>
    <x v="19"/>
    <x v="38"/>
    <x v="17"/>
    <x v="3"/>
    <x v="15"/>
    <x v="36"/>
    <x v="6"/>
    <x v="438"/>
    <x v="0"/>
  </r>
  <r>
    <x v="135"/>
    <x v="16"/>
    <x v="331"/>
    <x v="38"/>
    <x v="79"/>
    <x v="62"/>
    <x v="16"/>
    <x v="1"/>
    <x v="1"/>
    <x v="238"/>
    <x v="241"/>
    <x v="35"/>
    <x v="41"/>
    <x v="5"/>
    <x v="20"/>
    <x v="19"/>
    <x v="38"/>
    <x v="17"/>
    <x v="3"/>
    <x v="15"/>
    <x v="36"/>
    <x v="79"/>
    <x v="365"/>
    <x v="0"/>
  </r>
  <r>
    <x v="135"/>
    <x v="3"/>
    <x v="325"/>
    <x v="6"/>
    <x v="148"/>
    <x v="18"/>
    <x v="3"/>
    <x v="1"/>
    <x v="1"/>
    <x v="251"/>
    <x v="358"/>
    <x v="35"/>
    <x v="33"/>
    <x v="0"/>
    <x v="0"/>
    <x v="25"/>
    <x v="37"/>
    <x v="12"/>
    <x v="2"/>
    <x v="35"/>
    <x v="38"/>
    <x v="177"/>
    <x v="267"/>
    <x v="0"/>
  </r>
  <r>
    <x v="135"/>
    <x v="3"/>
    <x v="52"/>
    <x v="37"/>
    <x v="109"/>
    <x v="152"/>
    <x v="3"/>
    <x v="0"/>
    <x v="0"/>
    <x v="253"/>
    <x v="37"/>
    <x v="35"/>
    <x v="25"/>
    <x v="0"/>
    <x v="0"/>
    <x v="21"/>
    <x v="34"/>
    <x v="22"/>
    <x v="30"/>
    <x v="9"/>
    <x v="23"/>
    <x v="271"/>
    <x v="173"/>
    <x v="0"/>
  </r>
  <r>
    <x v="136"/>
    <x v="10"/>
    <x v="61"/>
    <x v="6"/>
    <x v="216"/>
    <x v="43"/>
    <x v="10"/>
    <x v="1"/>
    <x v="1"/>
    <x v="62"/>
    <x v="137"/>
    <x v="34"/>
    <x v="45"/>
    <x v="0"/>
    <x v="0"/>
    <x v="25"/>
    <x v="37"/>
    <x v="12"/>
    <x v="2"/>
    <x v="35"/>
    <x v="38"/>
    <x v="50"/>
    <x v="394"/>
    <x v="0"/>
  </r>
  <r>
    <x v="136"/>
    <x v="4"/>
    <x v="290"/>
    <x v="12"/>
    <x v="67"/>
    <x v="190"/>
    <x v="4"/>
    <x v="0"/>
    <x v="1"/>
    <x v="242"/>
    <x v="209"/>
    <x v="34"/>
    <x v="17"/>
    <x v="3"/>
    <x v="11"/>
    <x v="8"/>
    <x v="35"/>
    <x v="20"/>
    <x v="8"/>
    <x v="28"/>
    <x v="26"/>
    <x v="349"/>
    <x v="95"/>
    <x v="0"/>
  </r>
  <r>
    <x v="137"/>
    <x v="5"/>
    <x v="235"/>
    <x v="38"/>
    <x v="143"/>
    <x v="180"/>
    <x v="5"/>
    <x v="1"/>
    <x v="1"/>
    <x v="34"/>
    <x v="178"/>
    <x v="33"/>
    <x v="25"/>
    <x v="6"/>
    <x v="30"/>
    <x v="19"/>
    <x v="38"/>
    <x v="17"/>
    <x v="3"/>
    <x v="15"/>
    <x v="36"/>
    <x v="263"/>
    <x v="181"/>
    <x v="0"/>
  </r>
  <r>
    <x v="137"/>
    <x v="5"/>
    <x v="141"/>
    <x v="21"/>
    <x v="9"/>
    <x v="114"/>
    <x v="5"/>
    <x v="1"/>
    <x v="1"/>
    <x v="134"/>
    <x v="100"/>
    <x v="33"/>
    <x v="29"/>
    <x v="5"/>
    <x v="5"/>
    <x v="11"/>
    <x v="1"/>
    <x v="25"/>
    <x v="33"/>
    <x v="12"/>
    <x v="0"/>
    <x v="219"/>
    <x v="225"/>
    <x v="0"/>
  </r>
  <r>
    <x v="137"/>
    <x v="6"/>
    <x v="344"/>
    <x v="13"/>
    <x v="43"/>
    <x v="199"/>
    <x v="6"/>
    <x v="0"/>
    <x v="1"/>
    <x v="146"/>
    <x v="253"/>
    <x v="33"/>
    <x v="28"/>
    <x v="10"/>
    <x v="27"/>
    <x v="33"/>
    <x v="32"/>
    <x v="2"/>
    <x v="6"/>
    <x v="30"/>
    <x v="37"/>
    <x v="228"/>
    <x v="216"/>
    <x v="0"/>
  </r>
  <r>
    <x v="137"/>
    <x v="16"/>
    <x v="148"/>
    <x v="12"/>
    <x v="72"/>
    <x v="200"/>
    <x v="16"/>
    <x v="1"/>
    <x v="1"/>
    <x v="259"/>
    <x v="109"/>
    <x v="33"/>
    <x v="18"/>
    <x v="0"/>
    <x v="20"/>
    <x v="8"/>
    <x v="35"/>
    <x v="20"/>
    <x v="8"/>
    <x v="28"/>
    <x v="26"/>
    <x v="342"/>
    <x v="102"/>
    <x v="0"/>
  </r>
  <r>
    <x v="137"/>
    <x v="6"/>
    <x v="50"/>
    <x v="32"/>
    <x v="193"/>
    <x v="20"/>
    <x v="6"/>
    <x v="1"/>
    <x v="1"/>
    <x v="322"/>
    <x v="36"/>
    <x v="33"/>
    <x v="22"/>
    <x v="0"/>
    <x v="0"/>
    <x v="0"/>
    <x v="20"/>
    <x v="33"/>
    <x v="4"/>
    <x v="5"/>
    <x v="4"/>
    <x v="303"/>
    <x v="141"/>
    <x v="0"/>
  </r>
  <r>
    <x v="137"/>
    <x v="13"/>
    <x v="266"/>
    <x v="24"/>
    <x v="117"/>
    <x v="182"/>
    <x v="13"/>
    <x v="1"/>
    <x v="1"/>
    <x v="361"/>
    <x v="193"/>
    <x v="33"/>
    <x v="23"/>
    <x v="11"/>
    <x v="12"/>
    <x v="26"/>
    <x v="10"/>
    <x v="3"/>
    <x v="14"/>
    <x v="20"/>
    <x v="29"/>
    <x v="284"/>
    <x v="160"/>
    <x v="0"/>
  </r>
  <r>
    <x v="137"/>
    <x v="16"/>
    <x v="16"/>
    <x v="38"/>
    <x v="156"/>
    <x v="91"/>
    <x v="16"/>
    <x v="1"/>
    <x v="1"/>
    <x v="363"/>
    <x v="11"/>
    <x v="33"/>
    <x v="29"/>
    <x v="8"/>
    <x v="29"/>
    <x v="19"/>
    <x v="38"/>
    <x v="17"/>
    <x v="3"/>
    <x v="15"/>
    <x v="36"/>
    <x v="216"/>
    <x v="228"/>
    <x v="0"/>
  </r>
  <r>
    <x v="138"/>
    <x v="5"/>
    <x v="59"/>
    <x v="38"/>
    <x v="143"/>
    <x v="114"/>
    <x v="5"/>
    <x v="1"/>
    <x v="1"/>
    <x v="70"/>
    <x v="42"/>
    <x v="32"/>
    <x v="49"/>
    <x v="5"/>
    <x v="20"/>
    <x v="19"/>
    <x v="38"/>
    <x v="17"/>
    <x v="3"/>
    <x v="15"/>
    <x v="36"/>
    <x v="32"/>
    <x v="412"/>
    <x v="0"/>
  </r>
  <r>
    <x v="138"/>
    <x v="4"/>
    <x v="23"/>
    <x v="38"/>
    <x v="50"/>
    <x v="231"/>
    <x v="4"/>
    <x v="0"/>
    <x v="0"/>
    <x v="175"/>
    <x v="15"/>
    <x v="32"/>
    <x v="22"/>
    <x v="11"/>
    <x v="17"/>
    <x v="19"/>
    <x v="38"/>
    <x v="17"/>
    <x v="3"/>
    <x v="15"/>
    <x v="36"/>
    <x v="295"/>
    <x v="149"/>
    <x v="0"/>
  </r>
  <r>
    <x v="138"/>
    <x v="10"/>
    <x v="245"/>
    <x v="6"/>
    <x v="217"/>
    <x v="205"/>
    <x v="10"/>
    <x v="1"/>
    <x v="1"/>
    <x v="192"/>
    <x v="357"/>
    <x v="32"/>
    <x v="42"/>
    <x v="0"/>
    <x v="0"/>
    <x v="25"/>
    <x v="37"/>
    <x v="12"/>
    <x v="2"/>
    <x v="35"/>
    <x v="38"/>
    <x v="73"/>
    <x v="371"/>
    <x v="0"/>
  </r>
  <r>
    <x v="139"/>
    <x v="11"/>
    <x v="187"/>
    <x v="38"/>
    <x v="8"/>
    <x v="129"/>
    <x v="11"/>
    <x v="0"/>
    <x v="1"/>
    <x v="158"/>
    <x v="143"/>
    <x v="31"/>
    <x v="21"/>
    <x v="10"/>
    <x v="28"/>
    <x v="19"/>
    <x v="38"/>
    <x v="17"/>
    <x v="3"/>
    <x v="15"/>
    <x v="36"/>
    <x v="305"/>
    <x v="139"/>
    <x v="0"/>
  </r>
  <r>
    <x v="139"/>
    <x v="12"/>
    <x v="310"/>
    <x v="28"/>
    <x v="90"/>
    <x v="58"/>
    <x v="12"/>
    <x v="0"/>
    <x v="1"/>
    <x v="239"/>
    <x v="225"/>
    <x v="31"/>
    <x v="19"/>
    <x v="5"/>
    <x v="7"/>
    <x v="31"/>
    <x v="7"/>
    <x v="1"/>
    <x v="31"/>
    <x v="6"/>
    <x v="21"/>
    <x v="327"/>
    <x v="117"/>
    <x v="0"/>
  </r>
  <r>
    <x v="139"/>
    <x v="11"/>
    <x v="41"/>
    <x v="0"/>
    <x v="142"/>
    <x v="129"/>
    <x v="11"/>
    <x v="0"/>
    <x v="0"/>
    <x v="247"/>
    <x v="30"/>
    <x v="31"/>
    <x v="24"/>
    <x v="4"/>
    <x v="20"/>
    <x v="22"/>
    <x v="25"/>
    <x v="28"/>
    <x v="23"/>
    <x v="27"/>
    <x v="13"/>
    <x v="279"/>
    <x v="165"/>
    <x v="0"/>
  </r>
  <r>
    <x v="139"/>
    <x v="12"/>
    <x v="471"/>
    <x v="6"/>
    <x v="20"/>
    <x v="6"/>
    <x v="12"/>
    <x v="0"/>
    <x v="0"/>
    <x v="389"/>
    <x v="292"/>
    <x v="31"/>
    <x v="20"/>
    <x v="0"/>
    <x v="0"/>
    <x v="25"/>
    <x v="37"/>
    <x v="12"/>
    <x v="2"/>
    <x v="35"/>
    <x v="38"/>
    <x v="317"/>
    <x v="127"/>
    <x v="0"/>
  </r>
  <r>
    <x v="140"/>
    <x v="4"/>
    <x v="204"/>
    <x v="38"/>
    <x v="192"/>
    <x v="207"/>
    <x v="4"/>
    <x v="1"/>
    <x v="1"/>
    <x v="226"/>
    <x v="147"/>
    <x v="30"/>
    <x v="22"/>
    <x v="2"/>
    <x v="18"/>
    <x v="19"/>
    <x v="38"/>
    <x v="17"/>
    <x v="3"/>
    <x v="15"/>
    <x v="36"/>
    <x v="302"/>
    <x v="142"/>
    <x v="0"/>
  </r>
  <r>
    <x v="141"/>
    <x v="3"/>
    <x v="132"/>
    <x v="26"/>
    <x v="132"/>
    <x v="156"/>
    <x v="3"/>
    <x v="1"/>
    <x v="1"/>
    <x v="160"/>
    <x v="92"/>
    <x v="29"/>
    <x v="35"/>
    <x v="9"/>
    <x v="23"/>
    <x v="34"/>
    <x v="27"/>
    <x v="7"/>
    <x v="7"/>
    <x v="24"/>
    <x v="32"/>
    <x v="152"/>
    <x v="292"/>
    <x v="0"/>
  </r>
  <r>
    <x v="141"/>
    <x v="2"/>
    <x v="0"/>
    <x v="22"/>
    <x v="100"/>
    <x v="40"/>
    <x v="2"/>
    <x v="0"/>
    <x v="1"/>
    <x v="275"/>
    <x v="0"/>
    <x v="29"/>
    <x v="34"/>
    <x v="7"/>
    <x v="3"/>
    <x v="36"/>
    <x v="15"/>
    <x v="0"/>
    <x v="1"/>
    <x v="13"/>
    <x v="33"/>
    <x v="162"/>
    <x v="282"/>
    <x v="0"/>
  </r>
  <r>
    <x v="141"/>
    <x v="5"/>
    <x v="129"/>
    <x v="38"/>
    <x v="7"/>
    <x v="180"/>
    <x v="5"/>
    <x v="1"/>
    <x v="1"/>
    <x v="292"/>
    <x v="90"/>
    <x v="29"/>
    <x v="17"/>
    <x v="8"/>
    <x v="13"/>
    <x v="19"/>
    <x v="38"/>
    <x v="17"/>
    <x v="3"/>
    <x v="15"/>
    <x v="36"/>
    <x v="345"/>
    <x v="99"/>
    <x v="0"/>
  </r>
  <r>
    <x v="141"/>
    <x v="13"/>
    <x v="225"/>
    <x v="13"/>
    <x v="43"/>
    <x v="182"/>
    <x v="13"/>
    <x v="0"/>
    <x v="1"/>
    <x v="326"/>
    <x v="167"/>
    <x v="29"/>
    <x v="5"/>
    <x v="7"/>
    <x v="14"/>
    <x v="33"/>
    <x v="32"/>
    <x v="2"/>
    <x v="6"/>
    <x v="30"/>
    <x v="37"/>
    <x v="427"/>
    <x v="17"/>
    <x v="0"/>
  </r>
  <r>
    <x v="141"/>
    <x v="13"/>
    <x v="443"/>
    <x v="6"/>
    <x v="16"/>
    <x v="182"/>
    <x v="13"/>
    <x v="1"/>
    <x v="1"/>
    <x v="369"/>
    <x v="139"/>
    <x v="29"/>
    <x v="28"/>
    <x v="9"/>
    <x v="0"/>
    <x v="25"/>
    <x v="37"/>
    <x v="12"/>
    <x v="2"/>
    <x v="35"/>
    <x v="38"/>
    <x v="229"/>
    <x v="215"/>
    <x v="0"/>
  </r>
  <r>
    <x v="141"/>
    <x v="13"/>
    <x v="463"/>
    <x v="6"/>
    <x v="55"/>
    <x v="182"/>
    <x v="13"/>
    <x v="0"/>
    <x v="0"/>
    <x v="382"/>
    <x v="114"/>
    <x v="29"/>
    <x v="55"/>
    <x v="8"/>
    <x v="26"/>
    <x v="25"/>
    <x v="37"/>
    <x v="12"/>
    <x v="2"/>
    <x v="35"/>
    <x v="38"/>
    <x v="14"/>
    <x v="430"/>
    <x v="0"/>
  </r>
  <r>
    <x v="142"/>
    <x v="2"/>
    <x v="231"/>
    <x v="11"/>
    <x v="157"/>
    <x v="60"/>
    <x v="2"/>
    <x v="0"/>
    <x v="1"/>
    <x v="82"/>
    <x v="174"/>
    <x v="28"/>
    <x v="27"/>
    <x v="6"/>
    <x v="6"/>
    <x v="3"/>
    <x v="33"/>
    <x v="26"/>
    <x v="27"/>
    <x v="36"/>
    <x v="24"/>
    <x v="242"/>
    <x v="202"/>
    <x v="0"/>
  </r>
  <r>
    <x v="142"/>
    <x v="2"/>
    <x v="417"/>
    <x v="11"/>
    <x v="157"/>
    <x v="60"/>
    <x v="2"/>
    <x v="0"/>
    <x v="1"/>
    <x v="82"/>
    <x v="316"/>
    <x v="28"/>
    <x v="31"/>
    <x v="2"/>
    <x v="25"/>
    <x v="3"/>
    <x v="33"/>
    <x v="26"/>
    <x v="27"/>
    <x v="36"/>
    <x v="24"/>
    <x v="194"/>
    <x v="250"/>
    <x v="0"/>
  </r>
  <r>
    <x v="142"/>
    <x v="6"/>
    <x v="424"/>
    <x v="38"/>
    <x v="80"/>
    <x v="106"/>
    <x v="6"/>
    <x v="1"/>
    <x v="1"/>
    <x v="102"/>
    <x v="319"/>
    <x v="28"/>
    <x v="31"/>
    <x v="5"/>
    <x v="24"/>
    <x v="19"/>
    <x v="38"/>
    <x v="17"/>
    <x v="3"/>
    <x v="15"/>
    <x v="36"/>
    <x v="187"/>
    <x v="257"/>
    <x v="0"/>
  </r>
  <r>
    <x v="142"/>
    <x v="2"/>
    <x v="272"/>
    <x v="11"/>
    <x v="157"/>
    <x v="60"/>
    <x v="2"/>
    <x v="0"/>
    <x v="0"/>
    <x v="129"/>
    <x v="199"/>
    <x v="28"/>
    <x v="39"/>
    <x v="3"/>
    <x v="3"/>
    <x v="3"/>
    <x v="33"/>
    <x v="26"/>
    <x v="27"/>
    <x v="36"/>
    <x v="24"/>
    <x v="100"/>
    <x v="344"/>
    <x v="0"/>
  </r>
  <r>
    <x v="142"/>
    <x v="7"/>
    <x v="215"/>
    <x v="32"/>
    <x v="209"/>
    <x v="155"/>
    <x v="7"/>
    <x v="1"/>
    <x v="1"/>
    <x v="167"/>
    <x v="158"/>
    <x v="28"/>
    <x v="43"/>
    <x v="2"/>
    <x v="14"/>
    <x v="0"/>
    <x v="20"/>
    <x v="33"/>
    <x v="4"/>
    <x v="5"/>
    <x v="4"/>
    <x v="62"/>
    <x v="382"/>
    <x v="0"/>
  </r>
  <r>
    <x v="143"/>
    <x v="16"/>
    <x v="308"/>
    <x v="38"/>
    <x v="178"/>
    <x v="2"/>
    <x v="16"/>
    <x v="1"/>
    <x v="1"/>
    <x v="37"/>
    <x v="223"/>
    <x v="27"/>
    <x v="57"/>
    <x v="5"/>
    <x v="10"/>
    <x v="19"/>
    <x v="38"/>
    <x v="17"/>
    <x v="3"/>
    <x v="15"/>
    <x v="36"/>
    <x v="9"/>
    <x v="435"/>
    <x v="0"/>
  </r>
  <r>
    <x v="143"/>
    <x v="3"/>
    <x v="238"/>
    <x v="26"/>
    <x v="132"/>
    <x v="152"/>
    <x v="3"/>
    <x v="1"/>
    <x v="1"/>
    <x v="99"/>
    <x v="180"/>
    <x v="27"/>
    <x v="30"/>
    <x v="3"/>
    <x v="4"/>
    <x v="34"/>
    <x v="27"/>
    <x v="7"/>
    <x v="7"/>
    <x v="24"/>
    <x v="32"/>
    <x v="205"/>
    <x v="239"/>
    <x v="0"/>
  </r>
  <r>
    <x v="143"/>
    <x v="4"/>
    <x v="39"/>
    <x v="38"/>
    <x v="8"/>
    <x v="101"/>
    <x v="4"/>
    <x v="1"/>
    <x v="1"/>
    <x v="209"/>
    <x v="28"/>
    <x v="27"/>
    <x v="3"/>
    <x v="4"/>
    <x v="11"/>
    <x v="19"/>
    <x v="38"/>
    <x v="17"/>
    <x v="3"/>
    <x v="15"/>
    <x v="36"/>
    <x v="437"/>
    <x v="7"/>
    <x v="0"/>
  </r>
  <r>
    <x v="143"/>
    <x v="5"/>
    <x v="317"/>
    <x v="38"/>
    <x v="214"/>
    <x v="109"/>
    <x v="5"/>
    <x v="1"/>
    <x v="1"/>
    <x v="300"/>
    <x v="230"/>
    <x v="27"/>
    <x v="11"/>
    <x v="4"/>
    <x v="14"/>
    <x v="19"/>
    <x v="38"/>
    <x v="17"/>
    <x v="3"/>
    <x v="15"/>
    <x v="36"/>
    <x v="405"/>
    <x v="39"/>
    <x v="0"/>
  </r>
  <r>
    <x v="143"/>
    <x v="5"/>
    <x v="359"/>
    <x v="38"/>
    <x v="10"/>
    <x v="180"/>
    <x v="5"/>
    <x v="1"/>
    <x v="1"/>
    <x v="331"/>
    <x v="267"/>
    <x v="27"/>
    <x v="36"/>
    <x v="11"/>
    <x v="0"/>
    <x v="19"/>
    <x v="38"/>
    <x v="17"/>
    <x v="3"/>
    <x v="15"/>
    <x v="36"/>
    <x v="137"/>
    <x v="307"/>
    <x v="0"/>
  </r>
  <r>
    <x v="143"/>
    <x v="12"/>
    <x v="324"/>
    <x v="8"/>
    <x v="164"/>
    <x v="46"/>
    <x v="12"/>
    <x v="1"/>
    <x v="1"/>
    <x v="359"/>
    <x v="235"/>
    <x v="27"/>
    <x v="38"/>
    <x v="4"/>
    <x v="14"/>
    <x v="16"/>
    <x v="2"/>
    <x v="18"/>
    <x v="17"/>
    <x v="23"/>
    <x v="9"/>
    <x v="118"/>
    <x v="326"/>
    <x v="0"/>
  </r>
  <r>
    <x v="144"/>
    <x v="5"/>
    <x v="313"/>
    <x v="38"/>
    <x v="124"/>
    <x v="180"/>
    <x v="5"/>
    <x v="1"/>
    <x v="1"/>
    <x v="45"/>
    <x v="228"/>
    <x v="26"/>
    <x v="44"/>
    <x v="8"/>
    <x v="22"/>
    <x v="19"/>
    <x v="38"/>
    <x v="17"/>
    <x v="3"/>
    <x v="15"/>
    <x v="36"/>
    <x v="53"/>
    <x v="391"/>
    <x v="0"/>
  </r>
  <r>
    <x v="144"/>
    <x v="4"/>
    <x v="92"/>
    <x v="6"/>
    <x v="166"/>
    <x v="208"/>
    <x v="4"/>
    <x v="1"/>
    <x v="1"/>
    <x v="85"/>
    <x v="290"/>
    <x v="26"/>
    <x v="44"/>
    <x v="11"/>
    <x v="0"/>
    <x v="25"/>
    <x v="37"/>
    <x v="12"/>
    <x v="2"/>
    <x v="35"/>
    <x v="38"/>
    <x v="51"/>
    <x v="393"/>
    <x v="0"/>
  </r>
  <r>
    <x v="144"/>
    <x v="4"/>
    <x v="306"/>
    <x v="38"/>
    <x v="73"/>
    <x v="231"/>
    <x v="4"/>
    <x v="0"/>
    <x v="0"/>
    <x v="186"/>
    <x v="221"/>
    <x v="26"/>
    <x v="25"/>
    <x v="4"/>
    <x v="14"/>
    <x v="19"/>
    <x v="38"/>
    <x v="17"/>
    <x v="3"/>
    <x v="15"/>
    <x v="36"/>
    <x v="266"/>
    <x v="178"/>
    <x v="0"/>
  </r>
  <r>
    <x v="144"/>
    <x v="16"/>
    <x v="176"/>
    <x v="29"/>
    <x v="187"/>
    <x v="191"/>
    <x v="16"/>
    <x v="0"/>
    <x v="1"/>
    <x v="187"/>
    <x v="131"/>
    <x v="26"/>
    <x v="42"/>
    <x v="5"/>
    <x v="22"/>
    <x v="14"/>
    <x v="31"/>
    <x v="27"/>
    <x v="18"/>
    <x v="10"/>
    <x v="20"/>
    <x v="69"/>
    <x v="375"/>
    <x v="0"/>
  </r>
  <r>
    <x v="144"/>
    <x v="5"/>
    <x v="342"/>
    <x v="38"/>
    <x v="143"/>
    <x v="180"/>
    <x v="5"/>
    <x v="1"/>
    <x v="1"/>
    <x v="229"/>
    <x v="251"/>
    <x v="26"/>
    <x v="42"/>
    <x v="8"/>
    <x v="16"/>
    <x v="19"/>
    <x v="38"/>
    <x v="17"/>
    <x v="3"/>
    <x v="15"/>
    <x v="36"/>
    <x v="66"/>
    <x v="378"/>
    <x v="0"/>
  </r>
  <r>
    <x v="144"/>
    <x v="5"/>
    <x v="79"/>
    <x v="38"/>
    <x v="143"/>
    <x v="97"/>
    <x v="5"/>
    <x v="1"/>
    <x v="1"/>
    <x v="321"/>
    <x v="53"/>
    <x v="26"/>
    <x v="25"/>
    <x v="2"/>
    <x v="28"/>
    <x v="19"/>
    <x v="38"/>
    <x v="17"/>
    <x v="3"/>
    <x v="15"/>
    <x v="36"/>
    <x v="268"/>
    <x v="176"/>
    <x v="0"/>
  </r>
  <r>
    <x v="144"/>
    <x v="12"/>
    <x v="18"/>
    <x v="26"/>
    <x v="132"/>
    <x v="135"/>
    <x v="12"/>
    <x v="1"/>
    <x v="1"/>
    <x v="328"/>
    <x v="12"/>
    <x v="26"/>
    <x v="40"/>
    <x v="0"/>
    <x v="29"/>
    <x v="34"/>
    <x v="27"/>
    <x v="7"/>
    <x v="7"/>
    <x v="24"/>
    <x v="32"/>
    <x v="93"/>
    <x v="351"/>
    <x v="0"/>
  </r>
  <r>
    <x v="144"/>
    <x v="2"/>
    <x v="127"/>
    <x v="1"/>
    <x v="210"/>
    <x v="183"/>
    <x v="2"/>
    <x v="1"/>
    <x v="1"/>
    <x v="344"/>
    <x v="89"/>
    <x v="26"/>
    <x v="46"/>
    <x v="8"/>
    <x v="13"/>
    <x v="20"/>
    <x v="14"/>
    <x v="23"/>
    <x v="29"/>
    <x v="31"/>
    <x v="5"/>
    <x v="39"/>
    <x v="405"/>
    <x v="0"/>
  </r>
  <r>
    <x v="145"/>
    <x v="17"/>
    <x v="367"/>
    <x v="38"/>
    <x v="173"/>
    <x v="218"/>
    <x v="17"/>
    <x v="1"/>
    <x v="1"/>
    <x v="72"/>
    <x v="269"/>
    <x v="25"/>
    <x v="23"/>
    <x v="10"/>
    <x v="24"/>
    <x v="19"/>
    <x v="38"/>
    <x v="17"/>
    <x v="3"/>
    <x v="15"/>
    <x v="36"/>
    <x v="285"/>
    <x v="159"/>
    <x v="0"/>
  </r>
  <r>
    <x v="145"/>
    <x v="10"/>
    <x v="243"/>
    <x v="6"/>
    <x v="69"/>
    <x v="170"/>
    <x v="10"/>
    <x v="1"/>
    <x v="1"/>
    <x v="192"/>
    <x v="291"/>
    <x v="25"/>
    <x v="30"/>
    <x v="6"/>
    <x v="0"/>
    <x v="25"/>
    <x v="37"/>
    <x v="12"/>
    <x v="2"/>
    <x v="35"/>
    <x v="38"/>
    <x v="201"/>
    <x v="243"/>
    <x v="0"/>
  </r>
  <r>
    <x v="145"/>
    <x v="16"/>
    <x v="333"/>
    <x v="6"/>
    <x v="188"/>
    <x v="80"/>
    <x v="16"/>
    <x v="1"/>
    <x v="1"/>
    <x v="271"/>
    <x v="285"/>
    <x v="25"/>
    <x v="44"/>
    <x v="0"/>
    <x v="2"/>
    <x v="25"/>
    <x v="37"/>
    <x v="12"/>
    <x v="2"/>
    <x v="35"/>
    <x v="38"/>
    <x v="58"/>
    <x v="386"/>
    <x v="0"/>
  </r>
  <r>
    <x v="145"/>
    <x v="10"/>
    <x v="464"/>
    <x v="6"/>
    <x v="65"/>
    <x v="85"/>
    <x v="10"/>
    <x v="1"/>
    <x v="1"/>
    <x v="383"/>
    <x v="182"/>
    <x v="25"/>
    <x v="38"/>
    <x v="7"/>
    <x v="0"/>
    <x v="25"/>
    <x v="37"/>
    <x v="12"/>
    <x v="2"/>
    <x v="35"/>
    <x v="38"/>
    <x v="115"/>
    <x v="329"/>
    <x v="0"/>
  </r>
  <r>
    <x v="146"/>
    <x v="6"/>
    <x v="177"/>
    <x v="11"/>
    <x v="105"/>
    <x v="42"/>
    <x v="6"/>
    <x v="0"/>
    <x v="1"/>
    <x v="28"/>
    <x v="132"/>
    <x v="24"/>
    <x v="41"/>
    <x v="5"/>
    <x v="4"/>
    <x v="3"/>
    <x v="33"/>
    <x v="26"/>
    <x v="27"/>
    <x v="36"/>
    <x v="24"/>
    <x v="82"/>
    <x v="362"/>
    <x v="0"/>
  </r>
  <r>
    <x v="146"/>
    <x v="6"/>
    <x v="271"/>
    <x v="11"/>
    <x v="105"/>
    <x v="42"/>
    <x v="6"/>
    <x v="0"/>
    <x v="0"/>
    <x v="29"/>
    <x v="198"/>
    <x v="24"/>
    <x v="54"/>
    <x v="6"/>
    <x v="29"/>
    <x v="3"/>
    <x v="33"/>
    <x v="26"/>
    <x v="27"/>
    <x v="36"/>
    <x v="24"/>
    <x v="18"/>
    <x v="426"/>
    <x v="0"/>
  </r>
  <r>
    <x v="146"/>
    <x v="11"/>
    <x v="76"/>
    <x v="38"/>
    <x v="18"/>
    <x v="145"/>
    <x v="11"/>
    <x v="1"/>
    <x v="1"/>
    <x v="115"/>
    <x v="53"/>
    <x v="24"/>
    <x v="17"/>
    <x v="1"/>
    <x v="20"/>
    <x v="19"/>
    <x v="38"/>
    <x v="17"/>
    <x v="3"/>
    <x v="15"/>
    <x v="36"/>
    <x v="352"/>
    <x v="92"/>
    <x v="0"/>
  </r>
  <r>
    <x v="146"/>
    <x v="16"/>
    <x v="365"/>
    <x v="6"/>
    <x v="16"/>
    <x v="112"/>
    <x v="16"/>
    <x v="1"/>
    <x v="1"/>
    <x v="192"/>
    <x v="268"/>
    <x v="24"/>
    <x v="42"/>
    <x v="10"/>
    <x v="16"/>
    <x v="25"/>
    <x v="37"/>
    <x v="12"/>
    <x v="2"/>
    <x v="35"/>
    <x v="38"/>
    <x v="64"/>
    <x v="380"/>
    <x v="0"/>
  </r>
  <r>
    <x v="146"/>
    <x v="14"/>
    <x v="251"/>
    <x v="6"/>
    <x v="35"/>
    <x v="0"/>
    <x v="14"/>
    <x v="1"/>
    <x v="1"/>
    <x v="196"/>
    <x v="353"/>
    <x v="24"/>
    <x v="25"/>
    <x v="8"/>
    <x v="0"/>
    <x v="25"/>
    <x v="37"/>
    <x v="12"/>
    <x v="2"/>
    <x v="35"/>
    <x v="38"/>
    <x v="260"/>
    <x v="184"/>
    <x v="0"/>
  </r>
  <r>
    <x v="146"/>
    <x v="16"/>
    <x v="152"/>
    <x v="38"/>
    <x v="145"/>
    <x v="194"/>
    <x v="16"/>
    <x v="1"/>
    <x v="1"/>
    <x v="306"/>
    <x v="111"/>
    <x v="24"/>
    <x v="28"/>
    <x v="8"/>
    <x v="19"/>
    <x v="19"/>
    <x v="38"/>
    <x v="17"/>
    <x v="3"/>
    <x v="15"/>
    <x v="36"/>
    <x v="231"/>
    <x v="213"/>
    <x v="0"/>
  </r>
  <r>
    <x v="146"/>
    <x v="8"/>
    <x v="347"/>
    <x v="38"/>
    <x v="138"/>
    <x v="130"/>
    <x v="8"/>
    <x v="1"/>
    <x v="1"/>
    <x v="313"/>
    <x v="256"/>
    <x v="24"/>
    <x v="29"/>
    <x v="0"/>
    <x v="2"/>
    <x v="19"/>
    <x v="38"/>
    <x v="17"/>
    <x v="3"/>
    <x v="15"/>
    <x v="36"/>
    <x v="224"/>
    <x v="220"/>
    <x v="0"/>
  </r>
  <r>
    <x v="146"/>
    <x v="13"/>
    <x v="162"/>
    <x v="23"/>
    <x v="153"/>
    <x v="182"/>
    <x v="13"/>
    <x v="1"/>
    <x v="1"/>
    <x v="355"/>
    <x v="122"/>
    <x v="24"/>
    <x v="35"/>
    <x v="5"/>
    <x v="22"/>
    <x v="23"/>
    <x v="12"/>
    <x v="29"/>
    <x v="25"/>
    <x v="14"/>
    <x v="1"/>
    <x v="156"/>
    <x v="288"/>
    <x v="0"/>
  </r>
  <r>
    <x v="147"/>
    <x v="3"/>
    <x v="46"/>
    <x v="6"/>
    <x v="71"/>
    <x v="173"/>
    <x v="3"/>
    <x v="1"/>
    <x v="1"/>
    <x v="55"/>
    <x v="260"/>
    <x v="23"/>
    <x v="42"/>
    <x v="6"/>
    <x v="23"/>
    <x v="25"/>
    <x v="37"/>
    <x v="12"/>
    <x v="2"/>
    <x v="35"/>
    <x v="38"/>
    <x v="67"/>
    <x v="377"/>
    <x v="0"/>
  </r>
  <r>
    <x v="147"/>
    <x v="8"/>
    <x v="147"/>
    <x v="13"/>
    <x v="4"/>
    <x v="172"/>
    <x v="8"/>
    <x v="1"/>
    <x v="1"/>
    <x v="67"/>
    <x v="108"/>
    <x v="23"/>
    <x v="7"/>
    <x v="8"/>
    <x v="18"/>
    <x v="33"/>
    <x v="32"/>
    <x v="2"/>
    <x v="6"/>
    <x v="30"/>
    <x v="37"/>
    <x v="421"/>
    <x v="23"/>
    <x v="0"/>
  </r>
  <r>
    <x v="147"/>
    <x v="10"/>
    <x v="20"/>
    <x v="37"/>
    <x v="109"/>
    <x v="43"/>
    <x v="10"/>
    <x v="1"/>
    <x v="1"/>
    <x v="74"/>
    <x v="13"/>
    <x v="23"/>
    <x v="29"/>
    <x v="11"/>
    <x v="3"/>
    <x v="21"/>
    <x v="34"/>
    <x v="22"/>
    <x v="30"/>
    <x v="9"/>
    <x v="23"/>
    <x v="210"/>
    <x v="234"/>
    <x v="0"/>
  </r>
  <r>
    <x v="147"/>
    <x v="16"/>
    <x v="192"/>
    <x v="38"/>
    <x v="10"/>
    <x v="2"/>
    <x v="16"/>
    <x v="1"/>
    <x v="1"/>
    <x v="114"/>
    <x v="145"/>
    <x v="23"/>
    <x v="55"/>
    <x v="7"/>
    <x v="20"/>
    <x v="19"/>
    <x v="38"/>
    <x v="17"/>
    <x v="3"/>
    <x v="15"/>
    <x v="36"/>
    <x v="16"/>
    <x v="428"/>
    <x v="0"/>
  </r>
  <r>
    <x v="147"/>
    <x v="13"/>
    <x v="328"/>
    <x v="27"/>
    <x v="190"/>
    <x v="182"/>
    <x v="13"/>
    <x v="0"/>
    <x v="1"/>
    <x v="233"/>
    <x v="237"/>
    <x v="23"/>
    <x v="33"/>
    <x v="0"/>
    <x v="0"/>
    <x v="12"/>
    <x v="9"/>
    <x v="31"/>
    <x v="13"/>
    <x v="1"/>
    <x v="2"/>
    <x v="177"/>
    <x v="267"/>
    <x v="0"/>
  </r>
  <r>
    <x v="147"/>
    <x v="10"/>
    <x v="206"/>
    <x v="37"/>
    <x v="109"/>
    <x v="43"/>
    <x v="10"/>
    <x v="1"/>
    <x v="1"/>
    <x v="283"/>
    <x v="147"/>
    <x v="23"/>
    <x v="31"/>
    <x v="2"/>
    <x v="6"/>
    <x v="21"/>
    <x v="34"/>
    <x v="22"/>
    <x v="30"/>
    <x v="9"/>
    <x v="23"/>
    <x v="195"/>
    <x v="249"/>
    <x v="0"/>
  </r>
  <r>
    <x v="147"/>
    <x v="13"/>
    <x v="237"/>
    <x v="38"/>
    <x v="143"/>
    <x v="182"/>
    <x v="13"/>
    <x v="0"/>
    <x v="1"/>
    <x v="338"/>
    <x v="179"/>
    <x v="23"/>
    <x v="12"/>
    <x v="2"/>
    <x v="27"/>
    <x v="19"/>
    <x v="38"/>
    <x v="17"/>
    <x v="3"/>
    <x v="15"/>
    <x v="36"/>
    <x v="394"/>
    <x v="50"/>
    <x v="0"/>
  </r>
  <r>
    <x v="147"/>
    <x v="8"/>
    <x v="472"/>
    <x v="6"/>
    <x v="188"/>
    <x v="172"/>
    <x v="8"/>
    <x v="1"/>
    <x v="0"/>
    <x v="390"/>
    <x v="113"/>
    <x v="23"/>
    <x v="35"/>
    <x v="0"/>
    <x v="0"/>
    <x v="25"/>
    <x v="37"/>
    <x v="12"/>
    <x v="2"/>
    <x v="35"/>
    <x v="38"/>
    <x v="160"/>
    <x v="284"/>
    <x v="0"/>
  </r>
  <r>
    <x v="148"/>
    <x v="15"/>
    <x v="31"/>
    <x v="38"/>
    <x v="8"/>
    <x v="101"/>
    <x v="15"/>
    <x v="1"/>
    <x v="1"/>
    <x v="35"/>
    <x v="21"/>
    <x v="22"/>
    <x v="16"/>
    <x v="8"/>
    <x v="26"/>
    <x v="19"/>
    <x v="38"/>
    <x v="17"/>
    <x v="3"/>
    <x v="15"/>
    <x v="36"/>
    <x v="360"/>
    <x v="84"/>
    <x v="0"/>
  </r>
  <r>
    <x v="148"/>
    <x v="4"/>
    <x v="55"/>
    <x v="38"/>
    <x v="177"/>
    <x v="216"/>
    <x v="4"/>
    <x v="0"/>
    <x v="1"/>
    <x v="52"/>
    <x v="40"/>
    <x v="22"/>
    <x v="12"/>
    <x v="1"/>
    <x v="2"/>
    <x v="19"/>
    <x v="38"/>
    <x v="17"/>
    <x v="3"/>
    <x v="15"/>
    <x v="36"/>
    <x v="398"/>
    <x v="46"/>
    <x v="0"/>
  </r>
  <r>
    <x v="148"/>
    <x v="4"/>
    <x v="91"/>
    <x v="6"/>
    <x v="166"/>
    <x v="208"/>
    <x v="4"/>
    <x v="1"/>
    <x v="1"/>
    <x v="85"/>
    <x v="287"/>
    <x v="22"/>
    <x v="38"/>
    <x v="0"/>
    <x v="0"/>
    <x v="25"/>
    <x v="37"/>
    <x v="12"/>
    <x v="2"/>
    <x v="35"/>
    <x v="38"/>
    <x v="125"/>
    <x v="319"/>
    <x v="0"/>
  </r>
  <r>
    <x v="148"/>
    <x v="5"/>
    <x v="321"/>
    <x v="38"/>
    <x v="155"/>
    <x v="97"/>
    <x v="5"/>
    <x v="1"/>
    <x v="1"/>
    <x v="153"/>
    <x v="233"/>
    <x v="22"/>
    <x v="28"/>
    <x v="8"/>
    <x v="27"/>
    <x v="19"/>
    <x v="38"/>
    <x v="17"/>
    <x v="3"/>
    <x v="15"/>
    <x v="36"/>
    <x v="230"/>
    <x v="214"/>
    <x v="0"/>
  </r>
  <r>
    <x v="148"/>
    <x v="5"/>
    <x v="150"/>
    <x v="38"/>
    <x v="143"/>
    <x v="180"/>
    <x v="5"/>
    <x v="1"/>
    <x v="1"/>
    <x v="172"/>
    <x v="111"/>
    <x v="22"/>
    <x v="18"/>
    <x v="0"/>
    <x v="5"/>
    <x v="19"/>
    <x v="38"/>
    <x v="17"/>
    <x v="3"/>
    <x v="15"/>
    <x v="36"/>
    <x v="343"/>
    <x v="101"/>
    <x v="0"/>
  </r>
  <r>
    <x v="148"/>
    <x v="6"/>
    <x v="468"/>
    <x v="27"/>
    <x v="190"/>
    <x v="186"/>
    <x v="6"/>
    <x v="1"/>
    <x v="1"/>
    <x v="387"/>
    <x v="352"/>
    <x v="22"/>
    <x v="44"/>
    <x v="6"/>
    <x v="0"/>
    <x v="12"/>
    <x v="9"/>
    <x v="31"/>
    <x v="13"/>
    <x v="1"/>
    <x v="2"/>
    <x v="55"/>
    <x v="389"/>
    <x v="0"/>
  </r>
  <r>
    <x v="149"/>
    <x v="16"/>
    <x v="170"/>
    <x v="38"/>
    <x v="32"/>
    <x v="200"/>
    <x v="16"/>
    <x v="1"/>
    <x v="1"/>
    <x v="120"/>
    <x v="127"/>
    <x v="21"/>
    <x v="17"/>
    <x v="0"/>
    <x v="5"/>
    <x v="19"/>
    <x v="38"/>
    <x v="17"/>
    <x v="3"/>
    <x v="15"/>
    <x v="36"/>
    <x v="354"/>
    <x v="90"/>
    <x v="0"/>
  </r>
  <r>
    <x v="149"/>
    <x v="10"/>
    <x v="390"/>
    <x v="37"/>
    <x v="109"/>
    <x v="170"/>
    <x v="10"/>
    <x v="0"/>
    <x v="1"/>
    <x v="198"/>
    <x v="296"/>
    <x v="21"/>
    <x v="26"/>
    <x v="7"/>
    <x v="10"/>
    <x v="21"/>
    <x v="34"/>
    <x v="22"/>
    <x v="30"/>
    <x v="9"/>
    <x v="23"/>
    <x v="251"/>
    <x v="193"/>
    <x v="0"/>
  </r>
  <r>
    <x v="149"/>
    <x v="4"/>
    <x v="262"/>
    <x v="6"/>
    <x v="147"/>
    <x v="222"/>
    <x v="4"/>
    <x v="1"/>
    <x v="1"/>
    <x v="206"/>
    <x v="140"/>
    <x v="21"/>
    <x v="38"/>
    <x v="0"/>
    <x v="0"/>
    <x v="25"/>
    <x v="37"/>
    <x v="12"/>
    <x v="2"/>
    <x v="35"/>
    <x v="38"/>
    <x v="125"/>
    <x v="319"/>
    <x v="0"/>
  </r>
  <r>
    <x v="149"/>
    <x v="13"/>
    <x v="361"/>
    <x v="27"/>
    <x v="190"/>
    <x v="182"/>
    <x v="13"/>
    <x v="0"/>
    <x v="1"/>
    <x v="233"/>
    <x v="266"/>
    <x v="21"/>
    <x v="26"/>
    <x v="0"/>
    <x v="0"/>
    <x v="12"/>
    <x v="9"/>
    <x v="31"/>
    <x v="13"/>
    <x v="1"/>
    <x v="2"/>
    <x v="257"/>
    <x v="187"/>
    <x v="0"/>
  </r>
  <r>
    <x v="149"/>
    <x v="10"/>
    <x v="402"/>
    <x v="38"/>
    <x v="181"/>
    <x v="125"/>
    <x v="10"/>
    <x v="1"/>
    <x v="1"/>
    <x v="276"/>
    <x v="302"/>
    <x v="21"/>
    <x v="25"/>
    <x v="2"/>
    <x v="30"/>
    <x v="19"/>
    <x v="38"/>
    <x v="17"/>
    <x v="3"/>
    <x v="15"/>
    <x v="36"/>
    <x v="267"/>
    <x v="177"/>
    <x v="0"/>
  </r>
  <r>
    <x v="149"/>
    <x v="1"/>
    <x v="307"/>
    <x v="10"/>
    <x v="30"/>
    <x v="51"/>
    <x v="1"/>
    <x v="0"/>
    <x v="1"/>
    <x v="309"/>
    <x v="222"/>
    <x v="21"/>
    <x v="35"/>
    <x v="0"/>
    <x v="18"/>
    <x v="38"/>
    <x v="4"/>
    <x v="6"/>
    <x v="11"/>
    <x v="21"/>
    <x v="28"/>
    <x v="158"/>
    <x v="286"/>
    <x v="0"/>
  </r>
  <r>
    <x v="149"/>
    <x v="6"/>
    <x v="145"/>
    <x v="38"/>
    <x v="2"/>
    <x v="1"/>
    <x v="6"/>
    <x v="1"/>
    <x v="1"/>
    <x v="341"/>
    <x v="107"/>
    <x v="21"/>
    <x v="15"/>
    <x v="10"/>
    <x v="29"/>
    <x v="19"/>
    <x v="38"/>
    <x v="17"/>
    <x v="3"/>
    <x v="15"/>
    <x v="36"/>
    <x v="367"/>
    <x v="77"/>
    <x v="0"/>
  </r>
  <r>
    <x v="150"/>
    <x v="10"/>
    <x v="37"/>
    <x v="13"/>
    <x v="95"/>
    <x v="39"/>
    <x v="10"/>
    <x v="0"/>
    <x v="1"/>
    <x v="21"/>
    <x v="27"/>
    <x v="20"/>
    <x v="5"/>
    <x v="5"/>
    <x v="0"/>
    <x v="33"/>
    <x v="32"/>
    <x v="2"/>
    <x v="6"/>
    <x v="30"/>
    <x v="37"/>
    <x v="428"/>
    <x v="16"/>
    <x v="0"/>
  </r>
  <r>
    <x v="150"/>
    <x v="12"/>
    <x v="159"/>
    <x v="26"/>
    <x v="132"/>
    <x v="141"/>
    <x v="12"/>
    <x v="1"/>
    <x v="1"/>
    <x v="207"/>
    <x v="119"/>
    <x v="20"/>
    <x v="37"/>
    <x v="11"/>
    <x v="4"/>
    <x v="34"/>
    <x v="27"/>
    <x v="7"/>
    <x v="7"/>
    <x v="24"/>
    <x v="32"/>
    <x v="126"/>
    <x v="318"/>
    <x v="0"/>
  </r>
  <r>
    <x v="150"/>
    <x v="4"/>
    <x v="13"/>
    <x v="9"/>
    <x v="0"/>
    <x v="71"/>
    <x v="4"/>
    <x v="0"/>
    <x v="1"/>
    <x v="263"/>
    <x v="10"/>
    <x v="20"/>
    <x v="46"/>
    <x v="10"/>
    <x v="3"/>
    <x v="4"/>
    <x v="6"/>
    <x v="21"/>
    <x v="34"/>
    <x v="2"/>
    <x v="3"/>
    <x v="38"/>
    <x v="406"/>
    <x v="0"/>
  </r>
  <r>
    <x v="150"/>
    <x v="9"/>
    <x v="108"/>
    <x v="24"/>
    <x v="117"/>
    <x v="176"/>
    <x v="9"/>
    <x v="0"/>
    <x v="1"/>
    <x v="282"/>
    <x v="73"/>
    <x v="20"/>
    <x v="34"/>
    <x v="2"/>
    <x v="2"/>
    <x v="26"/>
    <x v="10"/>
    <x v="3"/>
    <x v="14"/>
    <x v="20"/>
    <x v="29"/>
    <x v="168"/>
    <x v="276"/>
    <x v="0"/>
  </r>
  <r>
    <x v="150"/>
    <x v="16"/>
    <x v="444"/>
    <x v="6"/>
    <x v="189"/>
    <x v="65"/>
    <x v="16"/>
    <x v="1"/>
    <x v="0"/>
    <x v="369"/>
    <x v="169"/>
    <x v="20"/>
    <x v="41"/>
    <x v="5"/>
    <x v="2"/>
    <x v="25"/>
    <x v="37"/>
    <x v="12"/>
    <x v="2"/>
    <x v="35"/>
    <x v="38"/>
    <x v="83"/>
    <x v="361"/>
    <x v="0"/>
  </r>
  <r>
    <x v="151"/>
    <x v="5"/>
    <x v="32"/>
    <x v="38"/>
    <x v="60"/>
    <x v="227"/>
    <x v="5"/>
    <x v="1"/>
    <x v="1"/>
    <x v="81"/>
    <x v="21"/>
    <x v="19"/>
    <x v="31"/>
    <x v="10"/>
    <x v="24"/>
    <x v="19"/>
    <x v="38"/>
    <x v="17"/>
    <x v="3"/>
    <x v="15"/>
    <x v="36"/>
    <x v="182"/>
    <x v="262"/>
    <x v="0"/>
  </r>
  <r>
    <x v="151"/>
    <x v="13"/>
    <x v="179"/>
    <x v="38"/>
    <x v="155"/>
    <x v="184"/>
    <x v="13"/>
    <x v="1"/>
    <x v="1"/>
    <x v="125"/>
    <x v="133"/>
    <x v="19"/>
    <x v="28"/>
    <x v="11"/>
    <x v="9"/>
    <x v="19"/>
    <x v="38"/>
    <x v="17"/>
    <x v="3"/>
    <x v="15"/>
    <x v="36"/>
    <x v="226"/>
    <x v="218"/>
    <x v="0"/>
  </r>
  <r>
    <x v="151"/>
    <x v="5"/>
    <x v="95"/>
    <x v="38"/>
    <x v="116"/>
    <x v="10"/>
    <x v="5"/>
    <x v="1"/>
    <x v="1"/>
    <x v="132"/>
    <x v="62"/>
    <x v="19"/>
    <x v="17"/>
    <x v="5"/>
    <x v="12"/>
    <x v="19"/>
    <x v="38"/>
    <x v="17"/>
    <x v="3"/>
    <x v="15"/>
    <x v="36"/>
    <x v="348"/>
    <x v="96"/>
    <x v="0"/>
  </r>
  <r>
    <x v="151"/>
    <x v="3"/>
    <x v="352"/>
    <x v="38"/>
    <x v="80"/>
    <x v="175"/>
    <x v="3"/>
    <x v="1"/>
    <x v="1"/>
    <x v="162"/>
    <x v="262"/>
    <x v="19"/>
    <x v="18"/>
    <x v="9"/>
    <x v="18"/>
    <x v="19"/>
    <x v="38"/>
    <x v="17"/>
    <x v="3"/>
    <x v="15"/>
    <x v="36"/>
    <x v="335"/>
    <x v="109"/>
    <x v="0"/>
  </r>
  <r>
    <x v="151"/>
    <x v="5"/>
    <x v="142"/>
    <x v="36"/>
    <x v="46"/>
    <x v="81"/>
    <x v="5"/>
    <x v="1"/>
    <x v="1"/>
    <x v="262"/>
    <x v="101"/>
    <x v="19"/>
    <x v="55"/>
    <x v="7"/>
    <x v="14"/>
    <x v="13"/>
    <x v="13"/>
    <x v="16"/>
    <x v="0"/>
    <x v="0"/>
    <x v="7"/>
    <x v="17"/>
    <x v="427"/>
    <x v="0"/>
  </r>
  <r>
    <x v="151"/>
    <x v="4"/>
    <x v="409"/>
    <x v="17"/>
    <x v="203"/>
    <x v="168"/>
    <x v="4"/>
    <x v="0"/>
    <x v="1"/>
    <x v="346"/>
    <x v="308"/>
    <x v="19"/>
    <x v="35"/>
    <x v="6"/>
    <x v="11"/>
    <x v="1"/>
    <x v="36"/>
    <x v="34"/>
    <x v="9"/>
    <x v="25"/>
    <x v="31"/>
    <x v="155"/>
    <x v="289"/>
    <x v="0"/>
  </r>
  <r>
    <x v="151"/>
    <x v="6"/>
    <x v="474"/>
    <x v="6"/>
    <x v="69"/>
    <x v="23"/>
    <x v="6"/>
    <x v="1"/>
    <x v="1"/>
    <x v="392"/>
    <x v="244"/>
    <x v="19"/>
    <x v="19"/>
    <x v="9"/>
    <x v="0"/>
    <x v="25"/>
    <x v="37"/>
    <x v="12"/>
    <x v="2"/>
    <x v="35"/>
    <x v="38"/>
    <x v="322"/>
    <x v="122"/>
    <x v="0"/>
  </r>
  <r>
    <x v="152"/>
    <x v="16"/>
    <x v="212"/>
    <x v="38"/>
    <x v="114"/>
    <x v="95"/>
    <x v="16"/>
    <x v="1"/>
    <x v="0"/>
    <x v="98"/>
    <x v="153"/>
    <x v="18"/>
    <x v="17"/>
    <x v="7"/>
    <x v="0"/>
    <x v="19"/>
    <x v="38"/>
    <x v="17"/>
    <x v="3"/>
    <x v="15"/>
    <x v="36"/>
    <x v="347"/>
    <x v="97"/>
    <x v="0"/>
  </r>
  <r>
    <x v="152"/>
    <x v="7"/>
    <x v="193"/>
    <x v="1"/>
    <x v="210"/>
    <x v="86"/>
    <x v="7"/>
    <x v="1"/>
    <x v="1"/>
    <x v="122"/>
    <x v="146"/>
    <x v="18"/>
    <x v="21"/>
    <x v="0"/>
    <x v="2"/>
    <x v="20"/>
    <x v="14"/>
    <x v="23"/>
    <x v="29"/>
    <x v="31"/>
    <x v="5"/>
    <x v="313"/>
    <x v="131"/>
    <x v="0"/>
  </r>
  <r>
    <x v="152"/>
    <x v="14"/>
    <x v="411"/>
    <x v="38"/>
    <x v="106"/>
    <x v="193"/>
    <x v="14"/>
    <x v="0"/>
    <x v="0"/>
    <x v="128"/>
    <x v="310"/>
    <x v="18"/>
    <x v="35"/>
    <x v="10"/>
    <x v="15"/>
    <x v="19"/>
    <x v="38"/>
    <x v="17"/>
    <x v="3"/>
    <x v="15"/>
    <x v="36"/>
    <x v="150"/>
    <x v="294"/>
    <x v="0"/>
  </r>
  <r>
    <x v="152"/>
    <x v="10"/>
    <x v="246"/>
    <x v="6"/>
    <x v="33"/>
    <x v="50"/>
    <x v="10"/>
    <x v="1"/>
    <x v="1"/>
    <x v="193"/>
    <x v="337"/>
    <x v="18"/>
    <x v="30"/>
    <x v="11"/>
    <x v="13"/>
    <x v="25"/>
    <x v="37"/>
    <x v="12"/>
    <x v="2"/>
    <x v="35"/>
    <x v="38"/>
    <x v="199"/>
    <x v="245"/>
    <x v="0"/>
  </r>
  <r>
    <x v="152"/>
    <x v="8"/>
    <x v="118"/>
    <x v="32"/>
    <x v="104"/>
    <x v="94"/>
    <x v="8"/>
    <x v="0"/>
    <x v="1"/>
    <x v="249"/>
    <x v="81"/>
    <x v="18"/>
    <x v="24"/>
    <x v="9"/>
    <x v="29"/>
    <x v="0"/>
    <x v="20"/>
    <x v="33"/>
    <x v="4"/>
    <x v="5"/>
    <x v="4"/>
    <x v="273"/>
    <x v="171"/>
    <x v="0"/>
  </r>
  <r>
    <x v="152"/>
    <x v="5"/>
    <x v="452"/>
    <x v="27"/>
    <x v="190"/>
    <x v="14"/>
    <x v="5"/>
    <x v="0"/>
    <x v="1"/>
    <x v="371"/>
    <x v="44"/>
    <x v="18"/>
    <x v="3"/>
    <x v="0"/>
    <x v="9"/>
    <x v="12"/>
    <x v="9"/>
    <x v="31"/>
    <x v="13"/>
    <x v="1"/>
    <x v="2"/>
    <x v="439"/>
    <x v="5"/>
    <x v="0"/>
  </r>
  <r>
    <x v="152"/>
    <x v="10"/>
    <x v="466"/>
    <x v="6"/>
    <x v="147"/>
    <x v="64"/>
    <x v="10"/>
    <x v="1"/>
    <x v="1"/>
    <x v="387"/>
    <x v="110"/>
    <x v="18"/>
    <x v="26"/>
    <x v="0"/>
    <x v="0"/>
    <x v="25"/>
    <x v="37"/>
    <x v="12"/>
    <x v="2"/>
    <x v="35"/>
    <x v="38"/>
    <x v="257"/>
    <x v="187"/>
    <x v="0"/>
  </r>
  <r>
    <x v="153"/>
    <x v="16"/>
    <x v="267"/>
    <x v="38"/>
    <x v="178"/>
    <x v="32"/>
    <x v="16"/>
    <x v="1"/>
    <x v="1"/>
    <x v="23"/>
    <x v="194"/>
    <x v="17"/>
    <x v="38"/>
    <x v="8"/>
    <x v="24"/>
    <x v="19"/>
    <x v="38"/>
    <x v="17"/>
    <x v="3"/>
    <x v="15"/>
    <x v="36"/>
    <x v="109"/>
    <x v="335"/>
    <x v="0"/>
  </r>
  <r>
    <x v="153"/>
    <x v="11"/>
    <x v="94"/>
    <x v="37"/>
    <x v="109"/>
    <x v="160"/>
    <x v="11"/>
    <x v="1"/>
    <x v="1"/>
    <x v="51"/>
    <x v="61"/>
    <x v="17"/>
    <x v="59"/>
    <x v="4"/>
    <x v="26"/>
    <x v="21"/>
    <x v="34"/>
    <x v="22"/>
    <x v="30"/>
    <x v="9"/>
    <x v="23"/>
    <x v="4"/>
    <x v="440"/>
    <x v="0"/>
  </r>
  <r>
    <x v="153"/>
    <x v="11"/>
    <x v="156"/>
    <x v="37"/>
    <x v="109"/>
    <x v="160"/>
    <x v="11"/>
    <x v="1"/>
    <x v="1"/>
    <x v="51"/>
    <x v="117"/>
    <x v="17"/>
    <x v="56"/>
    <x v="2"/>
    <x v="28"/>
    <x v="21"/>
    <x v="34"/>
    <x v="22"/>
    <x v="30"/>
    <x v="9"/>
    <x v="23"/>
    <x v="12"/>
    <x v="432"/>
    <x v="0"/>
  </r>
  <r>
    <x v="153"/>
    <x v="16"/>
    <x v="164"/>
    <x v="38"/>
    <x v="169"/>
    <x v="127"/>
    <x v="16"/>
    <x v="1"/>
    <x v="1"/>
    <x v="78"/>
    <x v="124"/>
    <x v="17"/>
    <x v="19"/>
    <x v="6"/>
    <x v="22"/>
    <x v="19"/>
    <x v="38"/>
    <x v="17"/>
    <x v="3"/>
    <x v="15"/>
    <x v="36"/>
    <x v="324"/>
    <x v="120"/>
    <x v="0"/>
  </r>
  <r>
    <x v="153"/>
    <x v="10"/>
    <x v="34"/>
    <x v="13"/>
    <x v="135"/>
    <x v="165"/>
    <x v="10"/>
    <x v="0"/>
    <x v="1"/>
    <x v="80"/>
    <x v="22"/>
    <x v="17"/>
    <x v="16"/>
    <x v="9"/>
    <x v="23"/>
    <x v="33"/>
    <x v="32"/>
    <x v="2"/>
    <x v="6"/>
    <x v="30"/>
    <x v="37"/>
    <x v="358"/>
    <x v="86"/>
    <x v="0"/>
  </r>
  <r>
    <x v="153"/>
    <x v="4"/>
    <x v="341"/>
    <x v="38"/>
    <x v="143"/>
    <x v="8"/>
    <x v="4"/>
    <x v="1"/>
    <x v="1"/>
    <x v="185"/>
    <x v="250"/>
    <x v="17"/>
    <x v="13"/>
    <x v="9"/>
    <x v="13"/>
    <x v="19"/>
    <x v="38"/>
    <x v="17"/>
    <x v="3"/>
    <x v="15"/>
    <x v="36"/>
    <x v="383"/>
    <x v="61"/>
    <x v="0"/>
  </r>
  <r>
    <x v="153"/>
    <x v="2"/>
    <x v="369"/>
    <x v="13"/>
    <x v="135"/>
    <x v="60"/>
    <x v="2"/>
    <x v="0"/>
    <x v="0"/>
    <x v="222"/>
    <x v="271"/>
    <x v="17"/>
    <x v="41"/>
    <x v="5"/>
    <x v="5"/>
    <x v="33"/>
    <x v="32"/>
    <x v="2"/>
    <x v="6"/>
    <x v="30"/>
    <x v="37"/>
    <x v="81"/>
    <x v="363"/>
    <x v="0"/>
  </r>
  <r>
    <x v="153"/>
    <x v="2"/>
    <x v="385"/>
    <x v="13"/>
    <x v="135"/>
    <x v="60"/>
    <x v="2"/>
    <x v="0"/>
    <x v="1"/>
    <x v="222"/>
    <x v="284"/>
    <x v="17"/>
    <x v="38"/>
    <x v="8"/>
    <x v="5"/>
    <x v="33"/>
    <x v="32"/>
    <x v="2"/>
    <x v="6"/>
    <x v="30"/>
    <x v="37"/>
    <x v="113"/>
    <x v="331"/>
    <x v="0"/>
  </r>
  <r>
    <x v="153"/>
    <x v="6"/>
    <x v="163"/>
    <x v="38"/>
    <x v="78"/>
    <x v="83"/>
    <x v="6"/>
    <x v="1"/>
    <x v="1"/>
    <x v="290"/>
    <x v="123"/>
    <x v="17"/>
    <x v="27"/>
    <x v="11"/>
    <x v="28"/>
    <x v="19"/>
    <x v="38"/>
    <x v="17"/>
    <x v="3"/>
    <x v="15"/>
    <x v="36"/>
    <x v="236"/>
    <x v="208"/>
    <x v="0"/>
  </r>
  <r>
    <x v="153"/>
    <x v="6"/>
    <x v="211"/>
    <x v="38"/>
    <x v="155"/>
    <x v="83"/>
    <x v="6"/>
    <x v="1"/>
    <x v="1"/>
    <x v="290"/>
    <x v="152"/>
    <x v="17"/>
    <x v="29"/>
    <x v="8"/>
    <x v="15"/>
    <x v="19"/>
    <x v="38"/>
    <x v="17"/>
    <x v="3"/>
    <x v="15"/>
    <x v="36"/>
    <x v="217"/>
    <x v="227"/>
    <x v="0"/>
  </r>
  <r>
    <x v="153"/>
    <x v="6"/>
    <x v="96"/>
    <x v="38"/>
    <x v="161"/>
    <x v="23"/>
    <x v="6"/>
    <x v="1"/>
    <x v="1"/>
    <x v="365"/>
    <x v="62"/>
    <x v="17"/>
    <x v="26"/>
    <x v="1"/>
    <x v="25"/>
    <x v="19"/>
    <x v="38"/>
    <x v="17"/>
    <x v="3"/>
    <x v="15"/>
    <x v="36"/>
    <x v="256"/>
    <x v="188"/>
    <x v="0"/>
  </r>
  <r>
    <x v="154"/>
    <x v="2"/>
    <x v="104"/>
    <x v="38"/>
    <x v="111"/>
    <x v="103"/>
    <x v="2"/>
    <x v="0"/>
    <x v="0"/>
    <x v="48"/>
    <x v="68"/>
    <x v="16"/>
    <x v="10"/>
    <x v="0"/>
    <x v="0"/>
    <x v="19"/>
    <x v="38"/>
    <x v="17"/>
    <x v="3"/>
    <x v="15"/>
    <x v="36"/>
    <x v="411"/>
    <x v="33"/>
    <x v="0"/>
  </r>
  <r>
    <x v="154"/>
    <x v="6"/>
    <x v="322"/>
    <x v="38"/>
    <x v="194"/>
    <x v="35"/>
    <x v="6"/>
    <x v="0"/>
    <x v="0"/>
    <x v="156"/>
    <x v="234"/>
    <x v="16"/>
    <x v="8"/>
    <x v="0"/>
    <x v="0"/>
    <x v="19"/>
    <x v="38"/>
    <x v="17"/>
    <x v="3"/>
    <x v="15"/>
    <x v="36"/>
    <x v="420"/>
    <x v="24"/>
    <x v="0"/>
  </r>
  <r>
    <x v="154"/>
    <x v="5"/>
    <x v="329"/>
    <x v="38"/>
    <x v="143"/>
    <x v="96"/>
    <x v="5"/>
    <x v="1"/>
    <x v="1"/>
    <x v="178"/>
    <x v="238"/>
    <x v="16"/>
    <x v="41"/>
    <x v="8"/>
    <x v="15"/>
    <x v="19"/>
    <x v="38"/>
    <x v="17"/>
    <x v="3"/>
    <x v="15"/>
    <x v="36"/>
    <x v="75"/>
    <x v="369"/>
    <x v="0"/>
  </r>
  <r>
    <x v="154"/>
    <x v="16"/>
    <x v="250"/>
    <x v="6"/>
    <x v="81"/>
    <x v="121"/>
    <x v="16"/>
    <x v="1"/>
    <x v="1"/>
    <x v="196"/>
    <x v="144"/>
    <x v="16"/>
    <x v="38"/>
    <x v="8"/>
    <x v="21"/>
    <x v="25"/>
    <x v="37"/>
    <x v="12"/>
    <x v="2"/>
    <x v="35"/>
    <x v="38"/>
    <x v="110"/>
    <x v="334"/>
    <x v="0"/>
  </r>
  <r>
    <x v="154"/>
    <x v="13"/>
    <x v="157"/>
    <x v="38"/>
    <x v="108"/>
    <x v="182"/>
    <x v="13"/>
    <x v="1"/>
    <x v="1"/>
    <x v="237"/>
    <x v="117"/>
    <x v="16"/>
    <x v="16"/>
    <x v="8"/>
    <x v="19"/>
    <x v="19"/>
    <x v="38"/>
    <x v="17"/>
    <x v="3"/>
    <x v="15"/>
    <x v="36"/>
    <x v="361"/>
    <x v="83"/>
    <x v="0"/>
  </r>
  <r>
    <x v="154"/>
    <x v="4"/>
    <x v="376"/>
    <x v="30"/>
    <x v="99"/>
    <x v="235"/>
    <x v="4"/>
    <x v="0"/>
    <x v="0"/>
    <x v="241"/>
    <x v="276"/>
    <x v="16"/>
    <x v="42"/>
    <x v="6"/>
    <x v="8"/>
    <x v="7"/>
    <x v="26"/>
    <x v="32"/>
    <x v="15"/>
    <x v="26"/>
    <x v="18"/>
    <x v="68"/>
    <x v="376"/>
    <x v="0"/>
  </r>
  <r>
    <x v="154"/>
    <x v="8"/>
    <x v="372"/>
    <x v="38"/>
    <x v="162"/>
    <x v="131"/>
    <x v="8"/>
    <x v="0"/>
    <x v="0"/>
    <x v="343"/>
    <x v="274"/>
    <x v="16"/>
    <x v="28"/>
    <x v="4"/>
    <x v="0"/>
    <x v="19"/>
    <x v="38"/>
    <x v="17"/>
    <x v="3"/>
    <x v="15"/>
    <x v="36"/>
    <x v="233"/>
    <x v="211"/>
    <x v="0"/>
  </r>
  <r>
    <x v="155"/>
    <x v="3"/>
    <x v="72"/>
    <x v="38"/>
    <x v="80"/>
    <x v="175"/>
    <x v="3"/>
    <x v="0"/>
    <x v="0"/>
    <x v="16"/>
    <x v="52"/>
    <x v="15"/>
    <x v="38"/>
    <x v="2"/>
    <x v="8"/>
    <x v="19"/>
    <x v="38"/>
    <x v="17"/>
    <x v="3"/>
    <x v="15"/>
    <x v="36"/>
    <x v="122"/>
    <x v="322"/>
    <x v="0"/>
  </r>
  <r>
    <x v="155"/>
    <x v="2"/>
    <x v="387"/>
    <x v="16"/>
    <x v="126"/>
    <x v="128"/>
    <x v="2"/>
    <x v="1"/>
    <x v="1"/>
    <x v="25"/>
    <x v="293"/>
    <x v="15"/>
    <x v="10"/>
    <x v="8"/>
    <x v="28"/>
    <x v="6"/>
    <x v="30"/>
    <x v="30"/>
    <x v="28"/>
    <x v="34"/>
    <x v="22"/>
    <x v="407"/>
    <x v="37"/>
    <x v="0"/>
  </r>
  <r>
    <x v="155"/>
    <x v="7"/>
    <x v="85"/>
    <x v="37"/>
    <x v="196"/>
    <x v="159"/>
    <x v="7"/>
    <x v="1"/>
    <x v="0"/>
    <x v="68"/>
    <x v="54"/>
    <x v="15"/>
    <x v="41"/>
    <x v="8"/>
    <x v="25"/>
    <x v="21"/>
    <x v="34"/>
    <x v="22"/>
    <x v="30"/>
    <x v="9"/>
    <x v="23"/>
    <x v="74"/>
    <x v="370"/>
    <x v="0"/>
  </r>
  <r>
    <x v="155"/>
    <x v="3"/>
    <x v="379"/>
    <x v="38"/>
    <x v="80"/>
    <x v="175"/>
    <x v="3"/>
    <x v="0"/>
    <x v="1"/>
    <x v="90"/>
    <x v="279"/>
    <x v="15"/>
    <x v="56"/>
    <x v="10"/>
    <x v="0"/>
    <x v="19"/>
    <x v="38"/>
    <x v="17"/>
    <x v="3"/>
    <x v="15"/>
    <x v="36"/>
    <x v="11"/>
    <x v="433"/>
    <x v="0"/>
  </r>
  <r>
    <x v="155"/>
    <x v="3"/>
    <x v="300"/>
    <x v="38"/>
    <x v="80"/>
    <x v="175"/>
    <x v="3"/>
    <x v="0"/>
    <x v="0"/>
    <x v="106"/>
    <x v="214"/>
    <x v="15"/>
    <x v="43"/>
    <x v="7"/>
    <x v="11"/>
    <x v="19"/>
    <x v="38"/>
    <x v="17"/>
    <x v="3"/>
    <x v="15"/>
    <x v="36"/>
    <x v="61"/>
    <x v="383"/>
    <x v="0"/>
  </r>
  <r>
    <x v="155"/>
    <x v="5"/>
    <x v="102"/>
    <x v="38"/>
    <x v="25"/>
    <x v="76"/>
    <x v="5"/>
    <x v="0"/>
    <x v="1"/>
    <x v="152"/>
    <x v="67"/>
    <x v="15"/>
    <x v="38"/>
    <x v="10"/>
    <x v="17"/>
    <x v="19"/>
    <x v="38"/>
    <x v="17"/>
    <x v="3"/>
    <x v="15"/>
    <x v="36"/>
    <x v="107"/>
    <x v="337"/>
    <x v="0"/>
  </r>
  <r>
    <x v="155"/>
    <x v="5"/>
    <x v="465"/>
    <x v="38"/>
    <x v="110"/>
    <x v="217"/>
    <x v="5"/>
    <x v="1"/>
    <x v="1"/>
    <x v="221"/>
    <x v="355"/>
    <x v="15"/>
    <x v="35"/>
    <x v="10"/>
    <x v="10"/>
    <x v="19"/>
    <x v="38"/>
    <x v="17"/>
    <x v="3"/>
    <x v="15"/>
    <x v="36"/>
    <x v="151"/>
    <x v="293"/>
    <x v="0"/>
  </r>
  <r>
    <x v="155"/>
    <x v="16"/>
    <x v="140"/>
    <x v="38"/>
    <x v="215"/>
    <x v="110"/>
    <x v="16"/>
    <x v="1"/>
    <x v="1"/>
    <x v="224"/>
    <x v="99"/>
    <x v="15"/>
    <x v="3"/>
    <x v="0"/>
    <x v="2"/>
    <x v="19"/>
    <x v="38"/>
    <x v="17"/>
    <x v="3"/>
    <x v="15"/>
    <x v="36"/>
    <x v="440"/>
    <x v="4"/>
    <x v="0"/>
  </r>
  <r>
    <x v="155"/>
    <x v="5"/>
    <x v="205"/>
    <x v="38"/>
    <x v="127"/>
    <x v="97"/>
    <x v="5"/>
    <x v="1"/>
    <x v="1"/>
    <x v="243"/>
    <x v="147"/>
    <x v="15"/>
    <x v="43"/>
    <x v="11"/>
    <x v="20"/>
    <x v="19"/>
    <x v="38"/>
    <x v="17"/>
    <x v="3"/>
    <x v="15"/>
    <x v="36"/>
    <x v="59"/>
    <x v="385"/>
    <x v="0"/>
  </r>
  <r>
    <x v="155"/>
    <x v="5"/>
    <x v="80"/>
    <x v="38"/>
    <x v="184"/>
    <x v="97"/>
    <x v="5"/>
    <x v="1"/>
    <x v="1"/>
    <x v="323"/>
    <x v="53"/>
    <x v="15"/>
    <x v="35"/>
    <x v="6"/>
    <x v="14"/>
    <x v="19"/>
    <x v="38"/>
    <x v="17"/>
    <x v="3"/>
    <x v="15"/>
    <x v="36"/>
    <x v="154"/>
    <x v="290"/>
    <x v="0"/>
  </r>
  <r>
    <x v="155"/>
    <x v="2"/>
    <x v="437"/>
    <x v="26"/>
    <x v="132"/>
    <x v="136"/>
    <x v="2"/>
    <x v="1"/>
    <x v="1"/>
    <x v="360"/>
    <x v="330"/>
    <x v="15"/>
    <x v="31"/>
    <x v="3"/>
    <x v="13"/>
    <x v="34"/>
    <x v="27"/>
    <x v="7"/>
    <x v="7"/>
    <x v="24"/>
    <x v="32"/>
    <x v="191"/>
    <x v="253"/>
    <x v="0"/>
  </r>
  <r>
    <x v="155"/>
    <x v="16"/>
    <x v="445"/>
    <x v="6"/>
    <x v="189"/>
    <x v="65"/>
    <x v="16"/>
    <x v="1"/>
    <x v="1"/>
    <x v="369"/>
    <x v="170"/>
    <x v="15"/>
    <x v="38"/>
    <x v="11"/>
    <x v="13"/>
    <x v="25"/>
    <x v="37"/>
    <x v="12"/>
    <x v="2"/>
    <x v="35"/>
    <x v="38"/>
    <x v="106"/>
    <x v="338"/>
    <x v="0"/>
  </r>
  <r>
    <x v="155"/>
    <x v="3"/>
    <x v="343"/>
    <x v="38"/>
    <x v="80"/>
    <x v="175"/>
    <x v="3"/>
    <x v="0"/>
    <x v="0"/>
    <x v="377"/>
    <x v="252"/>
    <x v="15"/>
    <x v="35"/>
    <x v="7"/>
    <x v="27"/>
    <x v="19"/>
    <x v="38"/>
    <x v="17"/>
    <x v="3"/>
    <x v="15"/>
    <x v="36"/>
    <x v="153"/>
    <x v="291"/>
    <x v="0"/>
  </r>
  <r>
    <x v="156"/>
    <x v="5"/>
    <x v="218"/>
    <x v="38"/>
    <x v="41"/>
    <x v="142"/>
    <x v="5"/>
    <x v="1"/>
    <x v="1"/>
    <x v="103"/>
    <x v="161"/>
    <x v="14"/>
    <x v="24"/>
    <x v="10"/>
    <x v="28"/>
    <x v="19"/>
    <x v="38"/>
    <x v="17"/>
    <x v="3"/>
    <x v="15"/>
    <x v="36"/>
    <x v="272"/>
    <x v="172"/>
    <x v="0"/>
  </r>
  <r>
    <x v="156"/>
    <x v="5"/>
    <x v="62"/>
    <x v="37"/>
    <x v="109"/>
    <x v="97"/>
    <x v="5"/>
    <x v="1"/>
    <x v="1"/>
    <x v="140"/>
    <x v="45"/>
    <x v="14"/>
    <x v="40"/>
    <x v="9"/>
    <x v="26"/>
    <x v="21"/>
    <x v="34"/>
    <x v="22"/>
    <x v="30"/>
    <x v="9"/>
    <x v="23"/>
    <x v="85"/>
    <x v="359"/>
    <x v="0"/>
  </r>
  <r>
    <x v="156"/>
    <x v="10"/>
    <x v="222"/>
    <x v="9"/>
    <x v="19"/>
    <x v="120"/>
    <x v="10"/>
    <x v="0"/>
    <x v="1"/>
    <x v="174"/>
    <x v="163"/>
    <x v="14"/>
    <x v="21"/>
    <x v="11"/>
    <x v="26"/>
    <x v="4"/>
    <x v="6"/>
    <x v="21"/>
    <x v="34"/>
    <x v="2"/>
    <x v="3"/>
    <x v="304"/>
    <x v="140"/>
    <x v="0"/>
  </r>
  <r>
    <x v="156"/>
    <x v="10"/>
    <x v="389"/>
    <x v="9"/>
    <x v="19"/>
    <x v="120"/>
    <x v="10"/>
    <x v="0"/>
    <x v="0"/>
    <x v="174"/>
    <x v="295"/>
    <x v="14"/>
    <x v="50"/>
    <x v="0"/>
    <x v="0"/>
    <x v="4"/>
    <x v="6"/>
    <x v="21"/>
    <x v="34"/>
    <x v="2"/>
    <x v="3"/>
    <x v="29"/>
    <x v="415"/>
    <x v="0"/>
  </r>
  <r>
    <x v="156"/>
    <x v="10"/>
    <x v="419"/>
    <x v="9"/>
    <x v="19"/>
    <x v="120"/>
    <x v="10"/>
    <x v="0"/>
    <x v="1"/>
    <x v="174"/>
    <x v="318"/>
    <x v="14"/>
    <x v="53"/>
    <x v="0"/>
    <x v="0"/>
    <x v="4"/>
    <x v="6"/>
    <x v="21"/>
    <x v="34"/>
    <x v="2"/>
    <x v="3"/>
    <x v="24"/>
    <x v="420"/>
    <x v="0"/>
  </r>
  <r>
    <x v="156"/>
    <x v="8"/>
    <x v="278"/>
    <x v="16"/>
    <x v="53"/>
    <x v="172"/>
    <x v="8"/>
    <x v="0"/>
    <x v="0"/>
    <x v="181"/>
    <x v="203"/>
    <x v="14"/>
    <x v="17"/>
    <x v="0"/>
    <x v="0"/>
    <x v="6"/>
    <x v="30"/>
    <x v="30"/>
    <x v="28"/>
    <x v="34"/>
    <x v="22"/>
    <x v="356"/>
    <x v="88"/>
    <x v="0"/>
  </r>
  <r>
    <x v="156"/>
    <x v="0"/>
    <x v="242"/>
    <x v="6"/>
    <x v="148"/>
    <x v="18"/>
    <x v="0"/>
    <x v="1"/>
    <x v="1"/>
    <x v="192"/>
    <x v="242"/>
    <x v="14"/>
    <x v="42"/>
    <x v="0"/>
    <x v="0"/>
    <x v="25"/>
    <x v="37"/>
    <x v="12"/>
    <x v="2"/>
    <x v="35"/>
    <x v="38"/>
    <x v="73"/>
    <x v="371"/>
    <x v="0"/>
  </r>
  <r>
    <x v="156"/>
    <x v="10"/>
    <x v="247"/>
    <x v="6"/>
    <x v="69"/>
    <x v="203"/>
    <x v="10"/>
    <x v="1"/>
    <x v="1"/>
    <x v="194"/>
    <x v="137"/>
    <x v="14"/>
    <x v="36"/>
    <x v="7"/>
    <x v="0"/>
    <x v="25"/>
    <x v="37"/>
    <x v="12"/>
    <x v="2"/>
    <x v="35"/>
    <x v="38"/>
    <x v="141"/>
    <x v="303"/>
    <x v="0"/>
  </r>
  <r>
    <x v="156"/>
    <x v="10"/>
    <x v="264"/>
    <x v="32"/>
    <x v="52"/>
    <x v="43"/>
    <x v="10"/>
    <x v="0"/>
    <x v="0"/>
    <x v="212"/>
    <x v="191"/>
    <x v="14"/>
    <x v="43"/>
    <x v="0"/>
    <x v="0"/>
    <x v="0"/>
    <x v="20"/>
    <x v="33"/>
    <x v="4"/>
    <x v="5"/>
    <x v="4"/>
    <x v="63"/>
    <x v="381"/>
    <x v="0"/>
  </r>
  <r>
    <x v="156"/>
    <x v="17"/>
    <x v="460"/>
    <x v="11"/>
    <x v="157"/>
    <x v="113"/>
    <x v="17"/>
    <x v="1"/>
    <x v="1"/>
    <x v="235"/>
    <x v="341"/>
    <x v="14"/>
    <x v="41"/>
    <x v="7"/>
    <x v="24"/>
    <x v="3"/>
    <x v="33"/>
    <x v="26"/>
    <x v="27"/>
    <x v="36"/>
    <x v="24"/>
    <x v="76"/>
    <x v="368"/>
    <x v="0"/>
  </r>
  <r>
    <x v="156"/>
    <x v="3"/>
    <x v="415"/>
    <x v="38"/>
    <x v="23"/>
    <x v="147"/>
    <x v="3"/>
    <x v="1"/>
    <x v="1"/>
    <x v="250"/>
    <x v="314"/>
    <x v="14"/>
    <x v="25"/>
    <x v="2"/>
    <x v="26"/>
    <x v="19"/>
    <x v="38"/>
    <x v="17"/>
    <x v="3"/>
    <x v="15"/>
    <x v="36"/>
    <x v="269"/>
    <x v="175"/>
    <x v="0"/>
  </r>
  <r>
    <x v="156"/>
    <x v="13"/>
    <x v="103"/>
    <x v="38"/>
    <x v="111"/>
    <x v="182"/>
    <x v="13"/>
    <x v="0"/>
    <x v="1"/>
    <x v="294"/>
    <x v="67"/>
    <x v="14"/>
    <x v="12"/>
    <x v="11"/>
    <x v="24"/>
    <x v="19"/>
    <x v="38"/>
    <x v="17"/>
    <x v="3"/>
    <x v="15"/>
    <x v="36"/>
    <x v="390"/>
    <x v="54"/>
    <x v="0"/>
  </r>
  <r>
    <x v="156"/>
    <x v="13"/>
    <x v="195"/>
    <x v="38"/>
    <x v="7"/>
    <x v="182"/>
    <x v="13"/>
    <x v="1"/>
    <x v="1"/>
    <x v="332"/>
    <x v="148"/>
    <x v="14"/>
    <x v="13"/>
    <x v="4"/>
    <x v="22"/>
    <x v="19"/>
    <x v="38"/>
    <x v="17"/>
    <x v="3"/>
    <x v="15"/>
    <x v="36"/>
    <x v="388"/>
    <x v="56"/>
    <x v="0"/>
  </r>
  <r>
    <x v="156"/>
    <x v="5"/>
    <x v="130"/>
    <x v="38"/>
    <x v="92"/>
    <x v="97"/>
    <x v="5"/>
    <x v="1"/>
    <x v="1"/>
    <x v="336"/>
    <x v="90"/>
    <x v="14"/>
    <x v="4"/>
    <x v="7"/>
    <x v="11"/>
    <x v="19"/>
    <x v="38"/>
    <x v="17"/>
    <x v="3"/>
    <x v="15"/>
    <x v="36"/>
    <x v="432"/>
    <x v="12"/>
    <x v="0"/>
  </r>
  <r>
    <x v="156"/>
    <x v="16"/>
    <x v="82"/>
    <x v="38"/>
    <x v="86"/>
    <x v="49"/>
    <x v="16"/>
    <x v="1"/>
    <x v="1"/>
    <x v="345"/>
    <x v="53"/>
    <x v="14"/>
    <x v="25"/>
    <x v="9"/>
    <x v="11"/>
    <x v="19"/>
    <x v="38"/>
    <x v="17"/>
    <x v="3"/>
    <x v="15"/>
    <x v="36"/>
    <x v="258"/>
    <x v="186"/>
    <x v="0"/>
  </r>
  <r>
    <x v="156"/>
    <x v="10"/>
    <x v="2"/>
    <x v="9"/>
    <x v="19"/>
    <x v="120"/>
    <x v="10"/>
    <x v="0"/>
    <x v="0"/>
    <x v="352"/>
    <x v="2"/>
    <x v="14"/>
    <x v="57"/>
    <x v="4"/>
    <x v="17"/>
    <x v="4"/>
    <x v="6"/>
    <x v="21"/>
    <x v="34"/>
    <x v="2"/>
    <x v="3"/>
    <x v="10"/>
    <x v="434"/>
    <x v="0"/>
  </r>
  <r>
    <x v="156"/>
    <x v="16"/>
    <x v="207"/>
    <x v="38"/>
    <x v="171"/>
    <x v="49"/>
    <x v="16"/>
    <x v="1"/>
    <x v="1"/>
    <x v="358"/>
    <x v="147"/>
    <x v="14"/>
    <x v="15"/>
    <x v="7"/>
    <x v="11"/>
    <x v="19"/>
    <x v="38"/>
    <x v="17"/>
    <x v="3"/>
    <x v="15"/>
    <x v="36"/>
    <x v="369"/>
    <x v="75"/>
    <x v="0"/>
  </r>
  <r>
    <x v="156"/>
    <x v="6"/>
    <x v="462"/>
    <x v="6"/>
    <x v="166"/>
    <x v="198"/>
    <x v="6"/>
    <x v="1"/>
    <x v="1"/>
    <x v="380"/>
    <x v="286"/>
    <x v="14"/>
    <x v="32"/>
    <x v="0"/>
    <x v="0"/>
    <x v="25"/>
    <x v="37"/>
    <x v="12"/>
    <x v="2"/>
    <x v="35"/>
    <x v="38"/>
    <x v="181"/>
    <x v="263"/>
    <x v="0"/>
  </r>
  <r>
    <x v="157"/>
    <x v="10"/>
    <x v="340"/>
    <x v="32"/>
    <x v="213"/>
    <x v="43"/>
    <x v="10"/>
    <x v="0"/>
    <x v="0"/>
    <x v="38"/>
    <x v="249"/>
    <x v="13"/>
    <x v="50"/>
    <x v="0"/>
    <x v="0"/>
    <x v="0"/>
    <x v="20"/>
    <x v="33"/>
    <x v="4"/>
    <x v="5"/>
    <x v="4"/>
    <x v="29"/>
    <x v="415"/>
    <x v="0"/>
  </r>
  <r>
    <x v="157"/>
    <x v="6"/>
    <x v="44"/>
    <x v="38"/>
    <x v="8"/>
    <x v="44"/>
    <x v="6"/>
    <x v="0"/>
    <x v="1"/>
    <x v="57"/>
    <x v="33"/>
    <x v="13"/>
    <x v="28"/>
    <x v="3"/>
    <x v="21"/>
    <x v="19"/>
    <x v="38"/>
    <x v="17"/>
    <x v="3"/>
    <x v="15"/>
    <x v="36"/>
    <x v="234"/>
    <x v="210"/>
    <x v="0"/>
  </r>
  <r>
    <x v="157"/>
    <x v="6"/>
    <x v="66"/>
    <x v="38"/>
    <x v="8"/>
    <x v="44"/>
    <x v="6"/>
    <x v="0"/>
    <x v="1"/>
    <x v="57"/>
    <x v="50"/>
    <x v="13"/>
    <x v="27"/>
    <x v="2"/>
    <x v="0"/>
    <x v="19"/>
    <x v="38"/>
    <x v="17"/>
    <x v="3"/>
    <x v="15"/>
    <x v="36"/>
    <x v="245"/>
    <x v="199"/>
    <x v="0"/>
  </r>
  <r>
    <x v="157"/>
    <x v="6"/>
    <x v="427"/>
    <x v="38"/>
    <x v="68"/>
    <x v="44"/>
    <x v="6"/>
    <x v="0"/>
    <x v="0"/>
    <x v="58"/>
    <x v="322"/>
    <x v="13"/>
    <x v="29"/>
    <x v="11"/>
    <x v="16"/>
    <x v="19"/>
    <x v="38"/>
    <x v="17"/>
    <x v="3"/>
    <x v="15"/>
    <x v="36"/>
    <x v="209"/>
    <x v="235"/>
    <x v="0"/>
  </r>
  <r>
    <x v="157"/>
    <x v="5"/>
    <x v="43"/>
    <x v="38"/>
    <x v="143"/>
    <x v="97"/>
    <x v="5"/>
    <x v="1"/>
    <x v="1"/>
    <x v="170"/>
    <x v="32"/>
    <x v="13"/>
    <x v="19"/>
    <x v="1"/>
    <x v="24"/>
    <x v="19"/>
    <x v="38"/>
    <x v="17"/>
    <x v="3"/>
    <x v="15"/>
    <x v="36"/>
    <x v="331"/>
    <x v="113"/>
    <x v="0"/>
  </r>
  <r>
    <x v="157"/>
    <x v="16"/>
    <x v="151"/>
    <x v="38"/>
    <x v="146"/>
    <x v="194"/>
    <x v="16"/>
    <x v="1"/>
    <x v="1"/>
    <x v="234"/>
    <x v="111"/>
    <x v="13"/>
    <x v="33"/>
    <x v="9"/>
    <x v="7"/>
    <x v="19"/>
    <x v="38"/>
    <x v="17"/>
    <x v="3"/>
    <x v="15"/>
    <x v="36"/>
    <x v="170"/>
    <x v="274"/>
    <x v="0"/>
  </r>
  <r>
    <x v="157"/>
    <x v="5"/>
    <x v="305"/>
    <x v="12"/>
    <x v="136"/>
    <x v="114"/>
    <x v="5"/>
    <x v="0"/>
    <x v="0"/>
    <x v="351"/>
    <x v="220"/>
    <x v="13"/>
    <x v="50"/>
    <x v="0"/>
    <x v="6"/>
    <x v="8"/>
    <x v="35"/>
    <x v="20"/>
    <x v="8"/>
    <x v="28"/>
    <x v="26"/>
    <x v="28"/>
    <x v="416"/>
    <x v="0"/>
  </r>
  <r>
    <x v="158"/>
    <x v="5"/>
    <x v="73"/>
    <x v="38"/>
    <x v="54"/>
    <x v="180"/>
    <x v="5"/>
    <x v="1"/>
    <x v="1"/>
    <x v="43"/>
    <x v="53"/>
    <x v="12"/>
    <x v="16"/>
    <x v="10"/>
    <x v="26"/>
    <x v="19"/>
    <x v="38"/>
    <x v="17"/>
    <x v="3"/>
    <x v="15"/>
    <x v="36"/>
    <x v="357"/>
    <x v="87"/>
    <x v="0"/>
  </r>
  <r>
    <x v="158"/>
    <x v="16"/>
    <x v="281"/>
    <x v="38"/>
    <x v="120"/>
    <x v="138"/>
    <x v="16"/>
    <x v="0"/>
    <x v="0"/>
    <x v="108"/>
    <x v="207"/>
    <x v="12"/>
    <x v="38"/>
    <x v="7"/>
    <x v="14"/>
    <x v="19"/>
    <x v="38"/>
    <x v="17"/>
    <x v="3"/>
    <x v="15"/>
    <x v="36"/>
    <x v="114"/>
    <x v="330"/>
    <x v="0"/>
  </r>
  <r>
    <x v="158"/>
    <x v="13"/>
    <x v="24"/>
    <x v="38"/>
    <x v="36"/>
    <x v="182"/>
    <x v="13"/>
    <x v="0"/>
    <x v="0"/>
    <x v="191"/>
    <x v="16"/>
    <x v="12"/>
    <x v="4"/>
    <x v="1"/>
    <x v="26"/>
    <x v="19"/>
    <x v="38"/>
    <x v="17"/>
    <x v="3"/>
    <x v="15"/>
    <x v="36"/>
    <x v="434"/>
    <x v="10"/>
    <x v="0"/>
  </r>
  <r>
    <x v="158"/>
    <x v="13"/>
    <x v="78"/>
    <x v="37"/>
    <x v="109"/>
    <x v="115"/>
    <x v="13"/>
    <x v="1"/>
    <x v="1"/>
    <x v="289"/>
    <x v="53"/>
    <x v="12"/>
    <x v="12"/>
    <x v="8"/>
    <x v="0"/>
    <x v="21"/>
    <x v="34"/>
    <x v="22"/>
    <x v="30"/>
    <x v="9"/>
    <x v="23"/>
    <x v="391"/>
    <x v="53"/>
    <x v="0"/>
  </r>
  <r>
    <x v="158"/>
    <x v="13"/>
    <x v="338"/>
    <x v="32"/>
    <x v="39"/>
    <x v="182"/>
    <x v="13"/>
    <x v="1"/>
    <x v="1"/>
    <x v="362"/>
    <x v="247"/>
    <x v="12"/>
    <x v="45"/>
    <x v="3"/>
    <x v="21"/>
    <x v="0"/>
    <x v="20"/>
    <x v="33"/>
    <x v="4"/>
    <x v="5"/>
    <x v="4"/>
    <x v="49"/>
    <x v="395"/>
    <x v="0"/>
  </r>
  <r>
    <x v="159"/>
    <x v="5"/>
    <x v="47"/>
    <x v="31"/>
    <x v="62"/>
    <x v="114"/>
    <x v="5"/>
    <x v="1"/>
    <x v="1"/>
    <x v="24"/>
    <x v="34"/>
    <x v="11"/>
    <x v="25"/>
    <x v="7"/>
    <x v="18"/>
    <x v="5"/>
    <x v="17"/>
    <x v="26"/>
    <x v="32"/>
    <x v="29"/>
    <x v="8"/>
    <x v="261"/>
    <x v="183"/>
    <x v="0"/>
  </r>
  <r>
    <x v="159"/>
    <x v="15"/>
    <x v="397"/>
    <x v="38"/>
    <x v="78"/>
    <x v="210"/>
    <x v="15"/>
    <x v="1"/>
    <x v="1"/>
    <x v="33"/>
    <x v="300"/>
    <x v="11"/>
    <x v="34"/>
    <x v="3"/>
    <x v="9"/>
    <x v="19"/>
    <x v="38"/>
    <x v="17"/>
    <x v="3"/>
    <x v="15"/>
    <x v="36"/>
    <x v="166"/>
    <x v="278"/>
    <x v="0"/>
  </r>
  <r>
    <x v="159"/>
    <x v="5"/>
    <x v="391"/>
    <x v="38"/>
    <x v="143"/>
    <x v="97"/>
    <x v="5"/>
    <x v="1"/>
    <x v="1"/>
    <x v="88"/>
    <x v="297"/>
    <x v="11"/>
    <x v="27"/>
    <x v="5"/>
    <x v="13"/>
    <x v="19"/>
    <x v="38"/>
    <x v="17"/>
    <x v="3"/>
    <x v="15"/>
    <x v="36"/>
    <x v="243"/>
    <x v="201"/>
    <x v="0"/>
  </r>
  <r>
    <x v="159"/>
    <x v="8"/>
    <x v="184"/>
    <x v="6"/>
    <x v="16"/>
    <x v="25"/>
    <x v="8"/>
    <x v="1"/>
    <x v="0"/>
    <x v="147"/>
    <x v="155"/>
    <x v="11"/>
    <x v="37"/>
    <x v="10"/>
    <x v="0"/>
    <x v="25"/>
    <x v="37"/>
    <x v="12"/>
    <x v="2"/>
    <x v="35"/>
    <x v="38"/>
    <x v="128"/>
    <x v="316"/>
    <x v="0"/>
  </r>
  <r>
    <x v="159"/>
    <x v="3"/>
    <x v="8"/>
    <x v="11"/>
    <x v="157"/>
    <x v="156"/>
    <x v="3"/>
    <x v="1"/>
    <x v="1"/>
    <x v="177"/>
    <x v="5"/>
    <x v="11"/>
    <x v="36"/>
    <x v="9"/>
    <x v="14"/>
    <x v="3"/>
    <x v="33"/>
    <x v="26"/>
    <x v="27"/>
    <x v="36"/>
    <x v="24"/>
    <x v="138"/>
    <x v="306"/>
    <x v="0"/>
  </r>
  <r>
    <x v="159"/>
    <x v="5"/>
    <x v="256"/>
    <x v="7"/>
    <x v="24"/>
    <x v="14"/>
    <x v="5"/>
    <x v="1"/>
    <x v="1"/>
    <x v="307"/>
    <x v="186"/>
    <x v="11"/>
    <x v="7"/>
    <x v="0"/>
    <x v="26"/>
    <x v="28"/>
    <x v="5"/>
    <x v="13"/>
    <x v="16"/>
    <x v="38"/>
    <x v="19"/>
    <x v="425"/>
    <x v="19"/>
    <x v="0"/>
  </r>
  <r>
    <x v="159"/>
    <x v="9"/>
    <x v="86"/>
    <x v="38"/>
    <x v="129"/>
    <x v="52"/>
    <x v="9"/>
    <x v="1"/>
    <x v="1"/>
    <x v="370"/>
    <x v="55"/>
    <x v="11"/>
    <x v="8"/>
    <x v="6"/>
    <x v="26"/>
    <x v="19"/>
    <x v="38"/>
    <x v="17"/>
    <x v="3"/>
    <x v="15"/>
    <x v="36"/>
    <x v="418"/>
    <x v="26"/>
    <x v="0"/>
  </r>
  <r>
    <x v="160"/>
    <x v="1"/>
    <x v="25"/>
    <x v="37"/>
    <x v="61"/>
    <x v="50"/>
    <x v="1"/>
    <x v="0"/>
    <x v="1"/>
    <x v="20"/>
    <x v="17"/>
    <x v="10"/>
    <x v="19"/>
    <x v="9"/>
    <x v="22"/>
    <x v="21"/>
    <x v="34"/>
    <x v="22"/>
    <x v="30"/>
    <x v="9"/>
    <x v="23"/>
    <x v="320"/>
    <x v="124"/>
    <x v="0"/>
  </r>
  <r>
    <x v="160"/>
    <x v="3"/>
    <x v="122"/>
    <x v="6"/>
    <x v="34"/>
    <x v="202"/>
    <x v="3"/>
    <x v="1"/>
    <x v="1"/>
    <x v="112"/>
    <x v="142"/>
    <x v="10"/>
    <x v="39"/>
    <x v="0"/>
    <x v="0"/>
    <x v="25"/>
    <x v="37"/>
    <x v="12"/>
    <x v="2"/>
    <x v="35"/>
    <x v="38"/>
    <x v="104"/>
    <x v="340"/>
    <x v="0"/>
  </r>
  <r>
    <x v="160"/>
    <x v="5"/>
    <x v="200"/>
    <x v="37"/>
    <x v="109"/>
    <x v="180"/>
    <x v="5"/>
    <x v="1"/>
    <x v="1"/>
    <x v="123"/>
    <x v="147"/>
    <x v="10"/>
    <x v="30"/>
    <x v="5"/>
    <x v="0"/>
    <x v="21"/>
    <x v="34"/>
    <x v="22"/>
    <x v="30"/>
    <x v="9"/>
    <x v="23"/>
    <x v="203"/>
    <x v="241"/>
    <x v="0"/>
  </r>
  <r>
    <x v="160"/>
    <x v="8"/>
    <x v="4"/>
    <x v="11"/>
    <x v="113"/>
    <x v="172"/>
    <x v="8"/>
    <x v="0"/>
    <x v="1"/>
    <x v="217"/>
    <x v="3"/>
    <x v="10"/>
    <x v="12"/>
    <x v="0"/>
    <x v="0"/>
    <x v="3"/>
    <x v="33"/>
    <x v="26"/>
    <x v="27"/>
    <x v="36"/>
    <x v="24"/>
    <x v="400"/>
    <x v="44"/>
    <x v="0"/>
  </r>
  <r>
    <x v="160"/>
    <x v="3"/>
    <x v="450"/>
    <x v="6"/>
    <x v="102"/>
    <x v="148"/>
    <x v="3"/>
    <x v="1"/>
    <x v="1"/>
    <x v="369"/>
    <x v="356"/>
    <x v="10"/>
    <x v="38"/>
    <x v="2"/>
    <x v="10"/>
    <x v="25"/>
    <x v="37"/>
    <x v="12"/>
    <x v="2"/>
    <x v="35"/>
    <x v="38"/>
    <x v="121"/>
    <x v="323"/>
    <x v="0"/>
  </r>
  <r>
    <x v="160"/>
    <x v="10"/>
    <x v="393"/>
    <x v="15"/>
    <x v="201"/>
    <x v="137"/>
    <x v="10"/>
    <x v="1"/>
    <x v="1"/>
    <x v="373"/>
    <x v="298"/>
    <x v="10"/>
    <x v="0"/>
    <x v="6"/>
    <x v="15"/>
    <x v="2"/>
    <x v="11"/>
    <x v="29"/>
    <x v="24"/>
    <x v="4"/>
    <x v="6"/>
    <x v="444"/>
    <x v="0"/>
    <x v="0"/>
  </r>
  <r>
    <x v="161"/>
    <x v="6"/>
    <x v="270"/>
    <x v="19"/>
    <x v="122"/>
    <x v="21"/>
    <x v="6"/>
    <x v="0"/>
    <x v="0"/>
    <x v="12"/>
    <x v="197"/>
    <x v="9"/>
    <x v="37"/>
    <x v="4"/>
    <x v="1"/>
    <x v="29"/>
    <x v="24"/>
    <x v="8"/>
    <x v="13"/>
    <x v="32"/>
    <x v="30"/>
    <x v="133"/>
    <x v="311"/>
    <x v="0"/>
  </r>
  <r>
    <x v="161"/>
    <x v="2"/>
    <x v="143"/>
    <x v="31"/>
    <x v="195"/>
    <x v="114"/>
    <x v="2"/>
    <x v="1"/>
    <x v="1"/>
    <x v="87"/>
    <x v="102"/>
    <x v="9"/>
    <x v="12"/>
    <x v="2"/>
    <x v="2"/>
    <x v="5"/>
    <x v="17"/>
    <x v="26"/>
    <x v="32"/>
    <x v="29"/>
    <x v="8"/>
    <x v="396"/>
    <x v="48"/>
    <x v="0"/>
  </r>
  <r>
    <x v="161"/>
    <x v="14"/>
    <x v="121"/>
    <x v="20"/>
    <x v="6"/>
    <x v="220"/>
    <x v="14"/>
    <x v="1"/>
    <x v="1"/>
    <x v="119"/>
    <x v="84"/>
    <x v="9"/>
    <x v="7"/>
    <x v="7"/>
    <x v="1"/>
    <x v="15"/>
    <x v="22"/>
    <x v="24"/>
    <x v="23"/>
    <x v="18"/>
    <x v="11"/>
    <x v="422"/>
    <x v="22"/>
    <x v="0"/>
  </r>
  <r>
    <x v="161"/>
    <x v="6"/>
    <x v="248"/>
    <x v="6"/>
    <x v="189"/>
    <x v="23"/>
    <x v="6"/>
    <x v="1"/>
    <x v="1"/>
    <x v="194"/>
    <x v="219"/>
    <x v="9"/>
    <x v="38"/>
    <x v="0"/>
    <x v="0"/>
    <x v="25"/>
    <x v="37"/>
    <x v="12"/>
    <x v="2"/>
    <x v="35"/>
    <x v="38"/>
    <x v="125"/>
    <x v="319"/>
    <x v="0"/>
  </r>
  <r>
    <x v="161"/>
    <x v="10"/>
    <x v="373"/>
    <x v="6"/>
    <x v="147"/>
    <x v="179"/>
    <x v="10"/>
    <x v="1"/>
    <x v="1"/>
    <x v="297"/>
    <x v="184"/>
    <x v="9"/>
    <x v="38"/>
    <x v="0"/>
    <x v="0"/>
    <x v="25"/>
    <x v="37"/>
    <x v="12"/>
    <x v="2"/>
    <x v="35"/>
    <x v="38"/>
    <x v="125"/>
    <x v="319"/>
    <x v="0"/>
  </r>
  <r>
    <x v="161"/>
    <x v="10"/>
    <x v="374"/>
    <x v="6"/>
    <x v="147"/>
    <x v="178"/>
    <x v="10"/>
    <x v="1"/>
    <x v="1"/>
    <x v="297"/>
    <x v="346"/>
    <x v="9"/>
    <x v="46"/>
    <x v="0"/>
    <x v="0"/>
    <x v="25"/>
    <x v="37"/>
    <x v="12"/>
    <x v="2"/>
    <x v="35"/>
    <x v="38"/>
    <x v="42"/>
    <x v="402"/>
    <x v="0"/>
  </r>
  <r>
    <x v="161"/>
    <x v="5"/>
    <x v="294"/>
    <x v="25"/>
    <x v="94"/>
    <x v="114"/>
    <x v="5"/>
    <x v="1"/>
    <x v="1"/>
    <x v="333"/>
    <x v="210"/>
    <x v="9"/>
    <x v="36"/>
    <x v="6"/>
    <x v="10"/>
    <x v="10"/>
    <x v="19"/>
    <x v="15"/>
    <x v="19"/>
    <x v="17"/>
    <x v="16"/>
    <x v="142"/>
    <x v="302"/>
    <x v="0"/>
  </r>
  <r>
    <x v="162"/>
    <x v="2"/>
    <x v="296"/>
    <x v="22"/>
    <x v="100"/>
    <x v="219"/>
    <x v="2"/>
    <x v="1"/>
    <x v="1"/>
    <x v="4"/>
    <x v="212"/>
    <x v="8"/>
    <x v="27"/>
    <x v="3"/>
    <x v="28"/>
    <x v="36"/>
    <x v="15"/>
    <x v="0"/>
    <x v="1"/>
    <x v="13"/>
    <x v="33"/>
    <x v="244"/>
    <x v="200"/>
    <x v="0"/>
  </r>
  <r>
    <x v="162"/>
    <x v="5"/>
    <x v="426"/>
    <x v="38"/>
    <x v="18"/>
    <x v="180"/>
    <x v="5"/>
    <x v="1"/>
    <x v="1"/>
    <x v="121"/>
    <x v="321"/>
    <x v="8"/>
    <x v="38"/>
    <x v="6"/>
    <x v="30"/>
    <x v="19"/>
    <x v="38"/>
    <x v="17"/>
    <x v="3"/>
    <x v="15"/>
    <x v="36"/>
    <x v="116"/>
    <x v="328"/>
    <x v="0"/>
  </r>
  <r>
    <x v="162"/>
    <x v="4"/>
    <x v="287"/>
    <x v="12"/>
    <x v="67"/>
    <x v="47"/>
    <x v="4"/>
    <x v="0"/>
    <x v="1"/>
    <x v="138"/>
    <x v="209"/>
    <x v="8"/>
    <x v="17"/>
    <x v="8"/>
    <x v="27"/>
    <x v="8"/>
    <x v="35"/>
    <x v="20"/>
    <x v="8"/>
    <x v="28"/>
    <x v="26"/>
    <x v="344"/>
    <x v="100"/>
    <x v="0"/>
  </r>
  <r>
    <x v="162"/>
    <x v="4"/>
    <x v="455"/>
    <x v="12"/>
    <x v="67"/>
    <x v="47"/>
    <x v="4"/>
    <x v="0"/>
    <x v="1"/>
    <x v="138"/>
    <x v="340"/>
    <x v="8"/>
    <x v="25"/>
    <x v="0"/>
    <x v="0"/>
    <x v="8"/>
    <x v="35"/>
    <x v="20"/>
    <x v="8"/>
    <x v="28"/>
    <x v="26"/>
    <x v="271"/>
    <x v="173"/>
    <x v="0"/>
  </r>
  <r>
    <x v="163"/>
    <x v="12"/>
    <x v="6"/>
    <x v="26"/>
    <x v="132"/>
    <x v="214"/>
    <x v="12"/>
    <x v="1"/>
    <x v="1"/>
    <x v="0"/>
    <x v="4"/>
    <x v="7"/>
    <x v="33"/>
    <x v="1"/>
    <x v="19"/>
    <x v="34"/>
    <x v="27"/>
    <x v="7"/>
    <x v="7"/>
    <x v="24"/>
    <x v="32"/>
    <x v="174"/>
    <x v="270"/>
    <x v="0"/>
  </r>
  <r>
    <x v="163"/>
    <x v="13"/>
    <x v="309"/>
    <x v="38"/>
    <x v="37"/>
    <x v="182"/>
    <x v="13"/>
    <x v="1"/>
    <x v="1"/>
    <x v="40"/>
    <x v="224"/>
    <x v="7"/>
    <x v="12"/>
    <x v="0"/>
    <x v="11"/>
    <x v="19"/>
    <x v="38"/>
    <x v="17"/>
    <x v="3"/>
    <x v="15"/>
    <x v="36"/>
    <x v="399"/>
    <x v="45"/>
    <x v="0"/>
  </r>
  <r>
    <x v="163"/>
    <x v="4"/>
    <x v="3"/>
    <x v="4"/>
    <x v="131"/>
    <x v="54"/>
    <x v="4"/>
    <x v="1"/>
    <x v="1"/>
    <x v="44"/>
    <x v="3"/>
    <x v="7"/>
    <x v="23"/>
    <x v="1"/>
    <x v="17"/>
    <x v="17"/>
    <x v="28"/>
    <x v="25"/>
    <x v="12"/>
    <x v="3"/>
    <x v="15"/>
    <x v="291"/>
    <x v="153"/>
    <x v="0"/>
  </r>
  <r>
    <x v="163"/>
    <x v="16"/>
    <x v="175"/>
    <x v="38"/>
    <x v="170"/>
    <x v="192"/>
    <x v="16"/>
    <x v="1"/>
    <x v="1"/>
    <x v="60"/>
    <x v="130"/>
    <x v="7"/>
    <x v="33"/>
    <x v="7"/>
    <x v="25"/>
    <x v="19"/>
    <x v="38"/>
    <x v="17"/>
    <x v="3"/>
    <x v="15"/>
    <x v="36"/>
    <x v="171"/>
    <x v="273"/>
    <x v="0"/>
  </r>
  <r>
    <x v="163"/>
    <x v="4"/>
    <x v="139"/>
    <x v="13"/>
    <x v="135"/>
    <x v="188"/>
    <x v="4"/>
    <x v="1"/>
    <x v="1"/>
    <x v="76"/>
    <x v="98"/>
    <x v="7"/>
    <x v="32"/>
    <x v="0"/>
    <x v="0"/>
    <x v="33"/>
    <x v="32"/>
    <x v="2"/>
    <x v="6"/>
    <x v="30"/>
    <x v="37"/>
    <x v="181"/>
    <x v="263"/>
    <x v="0"/>
  </r>
  <r>
    <x v="163"/>
    <x v="2"/>
    <x v="405"/>
    <x v="33"/>
    <x v="14"/>
    <x v="60"/>
    <x v="2"/>
    <x v="0"/>
    <x v="1"/>
    <x v="149"/>
    <x v="305"/>
    <x v="7"/>
    <x v="8"/>
    <x v="10"/>
    <x v="1"/>
    <x v="9"/>
    <x v="18"/>
    <x v="11"/>
    <x v="17"/>
    <x v="7"/>
    <x v="25"/>
    <x v="416"/>
    <x v="28"/>
    <x v="0"/>
  </r>
  <r>
    <x v="163"/>
    <x v="5"/>
    <x v="117"/>
    <x v="15"/>
    <x v="201"/>
    <x v="114"/>
    <x v="5"/>
    <x v="1"/>
    <x v="1"/>
    <x v="202"/>
    <x v="80"/>
    <x v="7"/>
    <x v="4"/>
    <x v="9"/>
    <x v="21"/>
    <x v="2"/>
    <x v="11"/>
    <x v="29"/>
    <x v="24"/>
    <x v="4"/>
    <x v="6"/>
    <x v="430"/>
    <x v="14"/>
    <x v="0"/>
  </r>
  <r>
    <x v="163"/>
    <x v="5"/>
    <x v="289"/>
    <x v="38"/>
    <x v="111"/>
    <x v="114"/>
    <x v="5"/>
    <x v="1"/>
    <x v="1"/>
    <x v="220"/>
    <x v="209"/>
    <x v="7"/>
    <x v="20"/>
    <x v="6"/>
    <x v="3"/>
    <x v="19"/>
    <x v="38"/>
    <x v="17"/>
    <x v="3"/>
    <x v="15"/>
    <x v="36"/>
    <x v="315"/>
    <x v="129"/>
    <x v="0"/>
  </r>
  <r>
    <x v="163"/>
    <x v="16"/>
    <x v="81"/>
    <x v="38"/>
    <x v="194"/>
    <x v="116"/>
    <x v="16"/>
    <x v="1"/>
    <x v="1"/>
    <x v="340"/>
    <x v="53"/>
    <x v="7"/>
    <x v="25"/>
    <x v="6"/>
    <x v="1"/>
    <x v="19"/>
    <x v="38"/>
    <x v="17"/>
    <x v="3"/>
    <x v="15"/>
    <x v="36"/>
    <x v="264"/>
    <x v="180"/>
    <x v="0"/>
  </r>
  <r>
    <x v="163"/>
    <x v="4"/>
    <x v="240"/>
    <x v="38"/>
    <x v="141"/>
    <x v="187"/>
    <x v="4"/>
    <x v="1"/>
    <x v="1"/>
    <x v="375"/>
    <x v="181"/>
    <x v="7"/>
    <x v="11"/>
    <x v="8"/>
    <x v="7"/>
    <x v="19"/>
    <x v="38"/>
    <x v="17"/>
    <x v="3"/>
    <x v="15"/>
    <x v="36"/>
    <x v="401"/>
    <x v="43"/>
    <x v="0"/>
  </r>
  <r>
    <x v="164"/>
    <x v="13"/>
    <x v="45"/>
    <x v="6"/>
    <x v="35"/>
    <x v="182"/>
    <x v="13"/>
    <x v="1"/>
    <x v="1"/>
    <x v="53"/>
    <x v="165"/>
    <x v="6"/>
    <x v="37"/>
    <x v="0"/>
    <x v="0"/>
    <x v="25"/>
    <x v="37"/>
    <x v="12"/>
    <x v="2"/>
    <x v="35"/>
    <x v="38"/>
    <x v="135"/>
    <x v="309"/>
    <x v="0"/>
  </r>
  <r>
    <x v="164"/>
    <x v="2"/>
    <x v="174"/>
    <x v="33"/>
    <x v="14"/>
    <x v="60"/>
    <x v="2"/>
    <x v="0"/>
    <x v="1"/>
    <x v="65"/>
    <x v="129"/>
    <x v="6"/>
    <x v="4"/>
    <x v="3"/>
    <x v="0"/>
    <x v="9"/>
    <x v="18"/>
    <x v="11"/>
    <x v="17"/>
    <x v="7"/>
    <x v="25"/>
    <x v="433"/>
    <x v="11"/>
    <x v="0"/>
  </r>
  <r>
    <x v="164"/>
    <x v="5"/>
    <x v="14"/>
    <x v="38"/>
    <x v="42"/>
    <x v="97"/>
    <x v="5"/>
    <x v="1"/>
    <x v="1"/>
    <x v="130"/>
    <x v="11"/>
    <x v="6"/>
    <x v="35"/>
    <x v="3"/>
    <x v="22"/>
    <x v="19"/>
    <x v="38"/>
    <x v="17"/>
    <x v="3"/>
    <x v="15"/>
    <x v="36"/>
    <x v="157"/>
    <x v="287"/>
    <x v="0"/>
  </r>
  <r>
    <x v="164"/>
    <x v="5"/>
    <x v="29"/>
    <x v="38"/>
    <x v="111"/>
    <x v="77"/>
    <x v="5"/>
    <x v="1"/>
    <x v="1"/>
    <x v="288"/>
    <x v="19"/>
    <x v="6"/>
    <x v="34"/>
    <x v="9"/>
    <x v="11"/>
    <x v="19"/>
    <x v="38"/>
    <x v="17"/>
    <x v="3"/>
    <x v="15"/>
    <x v="36"/>
    <x v="161"/>
    <x v="283"/>
    <x v="0"/>
  </r>
  <r>
    <x v="164"/>
    <x v="6"/>
    <x v="428"/>
    <x v="6"/>
    <x v="188"/>
    <x v="84"/>
    <x v="6"/>
    <x v="0"/>
    <x v="1"/>
    <x v="357"/>
    <x v="72"/>
    <x v="6"/>
    <x v="31"/>
    <x v="0"/>
    <x v="14"/>
    <x v="25"/>
    <x v="37"/>
    <x v="12"/>
    <x v="2"/>
    <x v="35"/>
    <x v="38"/>
    <x v="196"/>
    <x v="248"/>
    <x v="0"/>
  </r>
  <r>
    <x v="165"/>
    <x v="5"/>
    <x v="210"/>
    <x v="38"/>
    <x v="123"/>
    <x v="180"/>
    <x v="5"/>
    <x v="1"/>
    <x v="1"/>
    <x v="133"/>
    <x v="151"/>
    <x v="5"/>
    <x v="38"/>
    <x v="11"/>
    <x v="28"/>
    <x v="19"/>
    <x v="38"/>
    <x v="17"/>
    <x v="3"/>
    <x v="15"/>
    <x v="36"/>
    <x v="105"/>
    <x v="339"/>
    <x v="0"/>
  </r>
  <r>
    <x v="165"/>
    <x v="8"/>
    <x v="312"/>
    <x v="9"/>
    <x v="82"/>
    <x v="130"/>
    <x v="8"/>
    <x v="0"/>
    <x v="1"/>
    <x v="199"/>
    <x v="227"/>
    <x v="5"/>
    <x v="21"/>
    <x v="9"/>
    <x v="24"/>
    <x v="4"/>
    <x v="6"/>
    <x v="21"/>
    <x v="34"/>
    <x v="2"/>
    <x v="3"/>
    <x v="306"/>
    <x v="138"/>
    <x v="0"/>
  </r>
  <r>
    <x v="165"/>
    <x v="8"/>
    <x v="318"/>
    <x v="38"/>
    <x v="111"/>
    <x v="172"/>
    <x v="8"/>
    <x v="1"/>
    <x v="1"/>
    <x v="335"/>
    <x v="230"/>
    <x v="5"/>
    <x v="26"/>
    <x v="6"/>
    <x v="28"/>
    <x v="19"/>
    <x v="38"/>
    <x v="17"/>
    <x v="3"/>
    <x v="15"/>
    <x v="36"/>
    <x v="252"/>
    <x v="192"/>
    <x v="0"/>
  </r>
  <r>
    <x v="166"/>
    <x v="12"/>
    <x v="357"/>
    <x v="35"/>
    <x v="45"/>
    <x v="212"/>
    <x v="12"/>
    <x v="1"/>
    <x v="1"/>
    <x v="5"/>
    <x v="264"/>
    <x v="4"/>
    <x v="40"/>
    <x v="8"/>
    <x v="20"/>
    <x v="37"/>
    <x v="0"/>
    <x v="5"/>
    <x v="22"/>
    <x v="22"/>
    <x v="17"/>
    <x v="87"/>
    <x v="357"/>
    <x v="0"/>
  </r>
  <r>
    <x v="166"/>
    <x v="8"/>
    <x v="196"/>
    <x v="38"/>
    <x v="8"/>
    <x v="131"/>
    <x v="8"/>
    <x v="1"/>
    <x v="1"/>
    <x v="49"/>
    <x v="147"/>
    <x v="4"/>
    <x v="8"/>
    <x v="8"/>
    <x v="14"/>
    <x v="19"/>
    <x v="38"/>
    <x v="17"/>
    <x v="3"/>
    <x v="15"/>
    <x v="36"/>
    <x v="417"/>
    <x v="27"/>
    <x v="0"/>
  </r>
  <r>
    <x v="166"/>
    <x v="3"/>
    <x v="33"/>
    <x v="4"/>
    <x v="174"/>
    <x v="152"/>
    <x v="3"/>
    <x v="0"/>
    <x v="1"/>
    <x v="144"/>
    <x v="21"/>
    <x v="4"/>
    <x v="4"/>
    <x v="0"/>
    <x v="0"/>
    <x v="17"/>
    <x v="28"/>
    <x v="25"/>
    <x v="12"/>
    <x v="3"/>
    <x v="15"/>
    <x v="435"/>
    <x v="9"/>
    <x v="0"/>
  </r>
  <r>
    <x v="166"/>
    <x v="13"/>
    <x v="119"/>
    <x v="31"/>
    <x v="195"/>
    <x v="184"/>
    <x v="13"/>
    <x v="0"/>
    <x v="1"/>
    <x v="204"/>
    <x v="82"/>
    <x v="4"/>
    <x v="25"/>
    <x v="7"/>
    <x v="4"/>
    <x v="5"/>
    <x v="17"/>
    <x v="26"/>
    <x v="32"/>
    <x v="29"/>
    <x v="8"/>
    <x v="262"/>
    <x v="182"/>
    <x v="0"/>
  </r>
  <r>
    <x v="166"/>
    <x v="1"/>
    <x v="422"/>
    <x v="32"/>
    <x v="91"/>
    <x v="39"/>
    <x v="1"/>
    <x v="0"/>
    <x v="1"/>
    <x v="311"/>
    <x v="317"/>
    <x v="4"/>
    <x v="19"/>
    <x v="11"/>
    <x v="16"/>
    <x v="0"/>
    <x v="20"/>
    <x v="33"/>
    <x v="4"/>
    <x v="5"/>
    <x v="4"/>
    <x v="318"/>
    <x v="126"/>
    <x v="0"/>
  </r>
  <r>
    <x v="166"/>
    <x v="5"/>
    <x v="71"/>
    <x v="38"/>
    <x v="143"/>
    <x v="114"/>
    <x v="5"/>
    <x v="0"/>
    <x v="1"/>
    <x v="391"/>
    <x v="51"/>
    <x v="4"/>
    <x v="45"/>
    <x v="10"/>
    <x v="1"/>
    <x v="19"/>
    <x v="38"/>
    <x v="17"/>
    <x v="3"/>
    <x v="15"/>
    <x v="36"/>
    <x v="43"/>
    <x v="401"/>
    <x v="0"/>
  </r>
  <r>
    <x v="166"/>
    <x v="5"/>
    <x v="93"/>
    <x v="38"/>
    <x v="149"/>
    <x v="114"/>
    <x v="5"/>
    <x v="0"/>
    <x v="1"/>
    <x v="391"/>
    <x v="60"/>
    <x v="4"/>
    <x v="38"/>
    <x v="3"/>
    <x v="0"/>
    <x v="19"/>
    <x v="38"/>
    <x v="17"/>
    <x v="3"/>
    <x v="15"/>
    <x v="36"/>
    <x v="120"/>
    <x v="324"/>
    <x v="0"/>
  </r>
  <r>
    <x v="166"/>
    <x v="5"/>
    <x v="364"/>
    <x v="38"/>
    <x v="143"/>
    <x v="114"/>
    <x v="5"/>
    <x v="0"/>
    <x v="1"/>
    <x v="391"/>
    <x v="266"/>
    <x v="4"/>
    <x v="40"/>
    <x v="7"/>
    <x v="11"/>
    <x v="19"/>
    <x v="38"/>
    <x v="17"/>
    <x v="3"/>
    <x v="15"/>
    <x v="36"/>
    <x v="88"/>
    <x v="356"/>
    <x v="0"/>
  </r>
  <r>
    <x v="167"/>
    <x v="3"/>
    <x v="346"/>
    <x v="38"/>
    <x v="41"/>
    <x v="158"/>
    <x v="3"/>
    <x v="0"/>
    <x v="1"/>
    <x v="142"/>
    <x v="255"/>
    <x v="3"/>
    <x v="17"/>
    <x v="3"/>
    <x v="5"/>
    <x v="19"/>
    <x v="38"/>
    <x v="17"/>
    <x v="3"/>
    <x v="15"/>
    <x v="36"/>
    <x v="350"/>
    <x v="94"/>
    <x v="0"/>
  </r>
  <r>
    <x v="167"/>
    <x v="9"/>
    <x v="226"/>
    <x v="6"/>
    <x v="188"/>
    <x v="163"/>
    <x v="9"/>
    <x v="1"/>
    <x v="1"/>
    <x v="179"/>
    <x v="206"/>
    <x v="3"/>
    <x v="44"/>
    <x v="11"/>
    <x v="0"/>
    <x v="25"/>
    <x v="37"/>
    <x v="12"/>
    <x v="2"/>
    <x v="35"/>
    <x v="38"/>
    <x v="51"/>
    <x v="393"/>
    <x v="0"/>
  </r>
  <r>
    <x v="167"/>
    <x v="0"/>
    <x v="435"/>
    <x v="13"/>
    <x v="43"/>
    <x v="144"/>
    <x v="0"/>
    <x v="0"/>
    <x v="1"/>
    <x v="180"/>
    <x v="329"/>
    <x v="3"/>
    <x v="16"/>
    <x v="2"/>
    <x v="4"/>
    <x v="33"/>
    <x v="32"/>
    <x v="2"/>
    <x v="6"/>
    <x v="30"/>
    <x v="37"/>
    <x v="365"/>
    <x v="79"/>
    <x v="0"/>
  </r>
  <r>
    <x v="167"/>
    <x v="5"/>
    <x v="220"/>
    <x v="38"/>
    <x v="180"/>
    <x v="114"/>
    <x v="5"/>
    <x v="1"/>
    <x v="1"/>
    <x v="182"/>
    <x v="161"/>
    <x v="3"/>
    <x v="9"/>
    <x v="8"/>
    <x v="15"/>
    <x v="19"/>
    <x v="38"/>
    <x v="17"/>
    <x v="3"/>
    <x v="15"/>
    <x v="36"/>
    <x v="414"/>
    <x v="30"/>
    <x v="0"/>
  </r>
  <r>
    <x v="167"/>
    <x v="8"/>
    <x v="241"/>
    <x v="6"/>
    <x v="188"/>
    <x v="171"/>
    <x v="8"/>
    <x v="1"/>
    <x v="1"/>
    <x v="192"/>
    <x v="87"/>
    <x v="3"/>
    <x v="41"/>
    <x v="0"/>
    <x v="0"/>
    <x v="25"/>
    <x v="37"/>
    <x v="12"/>
    <x v="2"/>
    <x v="35"/>
    <x v="38"/>
    <x v="84"/>
    <x v="360"/>
    <x v="0"/>
  </r>
  <r>
    <x v="167"/>
    <x v="5"/>
    <x v="216"/>
    <x v="38"/>
    <x v="26"/>
    <x v="105"/>
    <x v="5"/>
    <x v="0"/>
    <x v="0"/>
    <x v="268"/>
    <x v="159"/>
    <x v="3"/>
    <x v="32"/>
    <x v="0"/>
    <x v="6"/>
    <x v="19"/>
    <x v="38"/>
    <x v="17"/>
    <x v="3"/>
    <x v="15"/>
    <x v="36"/>
    <x v="180"/>
    <x v="264"/>
    <x v="0"/>
  </r>
  <r>
    <x v="167"/>
    <x v="14"/>
    <x v="363"/>
    <x v="38"/>
    <x v="41"/>
    <x v="105"/>
    <x v="14"/>
    <x v="0"/>
    <x v="1"/>
    <x v="296"/>
    <x v="266"/>
    <x v="3"/>
    <x v="27"/>
    <x v="8"/>
    <x v="25"/>
    <x v="19"/>
    <x v="38"/>
    <x v="17"/>
    <x v="3"/>
    <x v="15"/>
    <x v="36"/>
    <x v="239"/>
    <x v="205"/>
    <x v="0"/>
  </r>
  <r>
    <x v="167"/>
    <x v="7"/>
    <x v="414"/>
    <x v="15"/>
    <x v="201"/>
    <x v="87"/>
    <x v="7"/>
    <x v="1"/>
    <x v="1"/>
    <x v="304"/>
    <x v="313"/>
    <x v="3"/>
    <x v="45"/>
    <x v="10"/>
    <x v="0"/>
    <x v="2"/>
    <x v="11"/>
    <x v="29"/>
    <x v="24"/>
    <x v="4"/>
    <x v="6"/>
    <x v="44"/>
    <x v="400"/>
    <x v="0"/>
  </r>
  <r>
    <x v="167"/>
    <x v="8"/>
    <x v="381"/>
    <x v="29"/>
    <x v="187"/>
    <x v="26"/>
    <x v="8"/>
    <x v="1"/>
    <x v="1"/>
    <x v="319"/>
    <x v="156"/>
    <x v="3"/>
    <x v="31"/>
    <x v="9"/>
    <x v="22"/>
    <x v="14"/>
    <x v="31"/>
    <x v="27"/>
    <x v="18"/>
    <x v="10"/>
    <x v="20"/>
    <x v="183"/>
    <x v="261"/>
    <x v="0"/>
  </r>
  <r>
    <x v="167"/>
    <x v="0"/>
    <x v="458"/>
    <x v="6"/>
    <x v="147"/>
    <x v="11"/>
    <x v="0"/>
    <x v="1"/>
    <x v="1"/>
    <x v="378"/>
    <x v="141"/>
    <x v="3"/>
    <x v="38"/>
    <x v="0"/>
    <x v="0"/>
    <x v="25"/>
    <x v="37"/>
    <x v="12"/>
    <x v="2"/>
    <x v="35"/>
    <x v="38"/>
    <x v="125"/>
    <x v="319"/>
    <x v="0"/>
  </r>
  <r>
    <x v="168"/>
    <x v="14"/>
    <x v="295"/>
    <x v="38"/>
    <x v="12"/>
    <x v="36"/>
    <x v="14"/>
    <x v="0"/>
    <x v="1"/>
    <x v="13"/>
    <x v="211"/>
    <x v="2"/>
    <x v="23"/>
    <x v="5"/>
    <x v="28"/>
    <x v="19"/>
    <x v="38"/>
    <x v="17"/>
    <x v="3"/>
    <x v="15"/>
    <x v="36"/>
    <x v="288"/>
    <x v="156"/>
    <x v="0"/>
  </r>
  <r>
    <x v="168"/>
    <x v="11"/>
    <x v="168"/>
    <x v="38"/>
    <x v="154"/>
    <x v="129"/>
    <x v="11"/>
    <x v="0"/>
    <x v="1"/>
    <x v="59"/>
    <x v="127"/>
    <x v="2"/>
    <x v="31"/>
    <x v="3"/>
    <x v="11"/>
    <x v="19"/>
    <x v="38"/>
    <x v="17"/>
    <x v="3"/>
    <x v="15"/>
    <x v="36"/>
    <x v="192"/>
    <x v="252"/>
    <x v="0"/>
  </r>
  <r>
    <x v="168"/>
    <x v="16"/>
    <x v="197"/>
    <x v="38"/>
    <x v="178"/>
    <x v="167"/>
    <x v="16"/>
    <x v="1"/>
    <x v="1"/>
    <x v="71"/>
    <x v="147"/>
    <x v="2"/>
    <x v="62"/>
    <x v="7"/>
    <x v="5"/>
    <x v="19"/>
    <x v="38"/>
    <x v="17"/>
    <x v="3"/>
    <x v="15"/>
    <x v="36"/>
    <x v="1"/>
    <x v="443"/>
    <x v="0"/>
  </r>
  <r>
    <x v="168"/>
    <x v="16"/>
    <x v="316"/>
    <x v="38"/>
    <x v="178"/>
    <x v="166"/>
    <x v="16"/>
    <x v="1"/>
    <x v="1"/>
    <x v="71"/>
    <x v="230"/>
    <x v="2"/>
    <x v="61"/>
    <x v="8"/>
    <x v="8"/>
    <x v="19"/>
    <x v="38"/>
    <x v="17"/>
    <x v="3"/>
    <x v="15"/>
    <x v="36"/>
    <x v="2"/>
    <x v="442"/>
    <x v="0"/>
  </r>
  <r>
    <x v="168"/>
    <x v="10"/>
    <x v="30"/>
    <x v="38"/>
    <x v="168"/>
    <x v="225"/>
    <x v="10"/>
    <x v="1"/>
    <x v="1"/>
    <x v="94"/>
    <x v="20"/>
    <x v="2"/>
    <x v="3"/>
    <x v="3"/>
    <x v="9"/>
    <x v="19"/>
    <x v="38"/>
    <x v="17"/>
    <x v="3"/>
    <x v="15"/>
    <x v="36"/>
    <x v="438"/>
    <x v="6"/>
    <x v="0"/>
  </r>
  <r>
    <x v="168"/>
    <x v="0"/>
    <x v="330"/>
    <x v="16"/>
    <x v="130"/>
    <x v="12"/>
    <x v="0"/>
    <x v="0"/>
    <x v="1"/>
    <x v="100"/>
    <x v="240"/>
    <x v="2"/>
    <x v="19"/>
    <x v="4"/>
    <x v="21"/>
    <x v="6"/>
    <x v="30"/>
    <x v="30"/>
    <x v="28"/>
    <x v="34"/>
    <x v="22"/>
    <x v="329"/>
    <x v="115"/>
    <x v="0"/>
  </r>
  <r>
    <x v="168"/>
    <x v="0"/>
    <x v="67"/>
    <x v="38"/>
    <x v="80"/>
    <x v="226"/>
    <x v="0"/>
    <x v="0"/>
    <x v="1"/>
    <x v="110"/>
    <x v="50"/>
    <x v="2"/>
    <x v="39"/>
    <x v="1"/>
    <x v="26"/>
    <x v="19"/>
    <x v="38"/>
    <x v="17"/>
    <x v="3"/>
    <x v="15"/>
    <x v="36"/>
    <x v="102"/>
    <x v="342"/>
    <x v="0"/>
  </r>
  <r>
    <x v="168"/>
    <x v="2"/>
    <x v="171"/>
    <x v="4"/>
    <x v="174"/>
    <x v="60"/>
    <x v="2"/>
    <x v="0"/>
    <x v="1"/>
    <x v="144"/>
    <x v="127"/>
    <x v="2"/>
    <x v="2"/>
    <x v="2"/>
    <x v="19"/>
    <x v="17"/>
    <x v="28"/>
    <x v="25"/>
    <x v="12"/>
    <x v="3"/>
    <x v="15"/>
    <x v="442"/>
    <x v="2"/>
    <x v="0"/>
  </r>
  <r>
    <x v="168"/>
    <x v="10"/>
    <x v="186"/>
    <x v="6"/>
    <x v="35"/>
    <x v="43"/>
    <x v="10"/>
    <x v="1"/>
    <x v="1"/>
    <x v="148"/>
    <x v="336"/>
    <x v="2"/>
    <x v="29"/>
    <x v="2"/>
    <x v="0"/>
    <x v="25"/>
    <x v="37"/>
    <x v="12"/>
    <x v="2"/>
    <x v="35"/>
    <x v="38"/>
    <x v="222"/>
    <x v="222"/>
    <x v="0"/>
  </r>
  <r>
    <x v="168"/>
    <x v="8"/>
    <x v="456"/>
    <x v="12"/>
    <x v="72"/>
    <x v="172"/>
    <x v="8"/>
    <x v="1"/>
    <x v="1"/>
    <x v="210"/>
    <x v="340"/>
    <x v="2"/>
    <x v="15"/>
    <x v="5"/>
    <x v="3"/>
    <x v="8"/>
    <x v="35"/>
    <x v="20"/>
    <x v="8"/>
    <x v="28"/>
    <x v="26"/>
    <x v="371"/>
    <x v="73"/>
    <x v="0"/>
  </r>
  <r>
    <x v="168"/>
    <x v="5"/>
    <x v="255"/>
    <x v="12"/>
    <x v="206"/>
    <x v="172"/>
    <x v="5"/>
    <x v="0"/>
    <x v="1"/>
    <x v="216"/>
    <x v="185"/>
    <x v="2"/>
    <x v="39"/>
    <x v="0"/>
    <x v="0"/>
    <x v="8"/>
    <x v="35"/>
    <x v="20"/>
    <x v="8"/>
    <x v="28"/>
    <x v="26"/>
    <x v="104"/>
    <x v="340"/>
    <x v="0"/>
  </r>
  <r>
    <x v="168"/>
    <x v="10"/>
    <x v="302"/>
    <x v="38"/>
    <x v="163"/>
    <x v="125"/>
    <x v="10"/>
    <x v="1"/>
    <x v="1"/>
    <x v="276"/>
    <x v="216"/>
    <x v="2"/>
    <x v="30"/>
    <x v="7"/>
    <x v="20"/>
    <x v="19"/>
    <x v="38"/>
    <x v="17"/>
    <x v="3"/>
    <x v="15"/>
    <x v="36"/>
    <x v="200"/>
    <x v="244"/>
    <x v="0"/>
  </r>
  <r>
    <x v="168"/>
    <x v="11"/>
    <x v="217"/>
    <x v="38"/>
    <x v="47"/>
    <x v="129"/>
    <x v="11"/>
    <x v="0"/>
    <x v="0"/>
    <x v="281"/>
    <x v="160"/>
    <x v="2"/>
    <x v="19"/>
    <x v="0"/>
    <x v="11"/>
    <x v="19"/>
    <x v="38"/>
    <x v="17"/>
    <x v="3"/>
    <x v="15"/>
    <x v="36"/>
    <x v="333"/>
    <x v="111"/>
    <x v="0"/>
  </r>
  <r>
    <x v="168"/>
    <x v="5"/>
    <x v="320"/>
    <x v="38"/>
    <x v="143"/>
    <x v="97"/>
    <x v="5"/>
    <x v="1"/>
    <x v="1"/>
    <x v="325"/>
    <x v="232"/>
    <x v="2"/>
    <x v="18"/>
    <x v="7"/>
    <x v="21"/>
    <x v="19"/>
    <x v="38"/>
    <x v="17"/>
    <x v="3"/>
    <x v="15"/>
    <x v="36"/>
    <x v="338"/>
    <x v="106"/>
    <x v="0"/>
  </r>
  <r>
    <x v="168"/>
    <x v="8"/>
    <x v="383"/>
    <x v="16"/>
    <x v="208"/>
    <x v="132"/>
    <x v="8"/>
    <x v="1"/>
    <x v="1"/>
    <x v="339"/>
    <x v="281"/>
    <x v="2"/>
    <x v="17"/>
    <x v="2"/>
    <x v="19"/>
    <x v="6"/>
    <x v="30"/>
    <x v="30"/>
    <x v="28"/>
    <x v="34"/>
    <x v="22"/>
    <x v="351"/>
    <x v="93"/>
    <x v="0"/>
  </r>
  <r>
    <x v="168"/>
    <x v="11"/>
    <x v="269"/>
    <x v="38"/>
    <x v="191"/>
    <x v="129"/>
    <x v="11"/>
    <x v="0"/>
    <x v="0"/>
    <x v="348"/>
    <x v="196"/>
    <x v="2"/>
    <x v="16"/>
    <x v="3"/>
    <x v="14"/>
    <x v="19"/>
    <x v="38"/>
    <x v="17"/>
    <x v="3"/>
    <x v="15"/>
    <x v="36"/>
    <x v="364"/>
    <x v="80"/>
    <x v="0"/>
  </r>
  <r>
    <x v="168"/>
    <x v="16"/>
    <x v="354"/>
    <x v="0"/>
    <x v="199"/>
    <x v="200"/>
    <x v="16"/>
    <x v="1"/>
    <x v="1"/>
    <x v="376"/>
    <x v="262"/>
    <x v="2"/>
    <x v="29"/>
    <x v="3"/>
    <x v="0"/>
    <x v="22"/>
    <x v="25"/>
    <x v="28"/>
    <x v="23"/>
    <x v="27"/>
    <x v="13"/>
    <x v="221"/>
    <x v="223"/>
    <x v="0"/>
  </r>
  <r>
    <x v="168"/>
    <x v="2"/>
    <x v="470"/>
    <x v="6"/>
    <x v="16"/>
    <x v="26"/>
    <x v="2"/>
    <x v="1"/>
    <x v="0"/>
    <x v="388"/>
    <x v="348"/>
    <x v="2"/>
    <x v="41"/>
    <x v="0"/>
    <x v="0"/>
    <x v="25"/>
    <x v="37"/>
    <x v="12"/>
    <x v="2"/>
    <x v="35"/>
    <x v="38"/>
    <x v="84"/>
    <x v="360"/>
    <x v="0"/>
  </r>
  <r>
    <x v="169"/>
    <x v="4"/>
    <x v="319"/>
    <x v="16"/>
    <x v="126"/>
    <x v="122"/>
    <x v="4"/>
    <x v="1"/>
    <x v="1"/>
    <x v="27"/>
    <x v="231"/>
    <x v="1"/>
    <x v="20"/>
    <x v="0"/>
    <x v="0"/>
    <x v="6"/>
    <x v="30"/>
    <x v="30"/>
    <x v="28"/>
    <x v="34"/>
    <x v="22"/>
    <x v="317"/>
    <x v="127"/>
    <x v="0"/>
  </r>
  <r>
    <x v="169"/>
    <x v="10"/>
    <x v="265"/>
    <x v="13"/>
    <x v="135"/>
    <x v="165"/>
    <x v="10"/>
    <x v="0"/>
    <x v="1"/>
    <x v="66"/>
    <x v="192"/>
    <x v="1"/>
    <x v="15"/>
    <x v="3"/>
    <x v="18"/>
    <x v="33"/>
    <x v="32"/>
    <x v="2"/>
    <x v="6"/>
    <x v="30"/>
    <x v="37"/>
    <x v="374"/>
    <x v="70"/>
    <x v="0"/>
  </r>
  <r>
    <x v="169"/>
    <x v="5"/>
    <x v="279"/>
    <x v="38"/>
    <x v="21"/>
    <x v="143"/>
    <x v="5"/>
    <x v="0"/>
    <x v="1"/>
    <x v="145"/>
    <x v="204"/>
    <x v="1"/>
    <x v="54"/>
    <x v="0"/>
    <x v="5"/>
    <x v="19"/>
    <x v="38"/>
    <x v="17"/>
    <x v="3"/>
    <x v="15"/>
    <x v="36"/>
    <x v="20"/>
    <x v="424"/>
    <x v="0"/>
  </r>
  <r>
    <x v="169"/>
    <x v="16"/>
    <x v="234"/>
    <x v="27"/>
    <x v="190"/>
    <x v="116"/>
    <x v="16"/>
    <x v="1"/>
    <x v="1"/>
    <x v="166"/>
    <x v="177"/>
    <x v="1"/>
    <x v="29"/>
    <x v="1"/>
    <x v="14"/>
    <x v="12"/>
    <x v="9"/>
    <x v="31"/>
    <x v="13"/>
    <x v="1"/>
    <x v="2"/>
    <x v="223"/>
    <x v="221"/>
    <x v="0"/>
  </r>
  <r>
    <x v="169"/>
    <x v="2"/>
    <x v="283"/>
    <x v="6"/>
    <x v="198"/>
    <x v="223"/>
    <x v="2"/>
    <x v="1"/>
    <x v="1"/>
    <x v="218"/>
    <x v="104"/>
    <x v="1"/>
    <x v="39"/>
    <x v="0"/>
    <x v="0"/>
    <x v="25"/>
    <x v="37"/>
    <x v="12"/>
    <x v="2"/>
    <x v="35"/>
    <x v="38"/>
    <x v="104"/>
    <x v="340"/>
    <x v="0"/>
  </r>
  <r>
    <x v="169"/>
    <x v="10"/>
    <x v="291"/>
    <x v="32"/>
    <x v="112"/>
    <x v="117"/>
    <x v="10"/>
    <x v="1"/>
    <x v="1"/>
    <x v="256"/>
    <x v="209"/>
    <x v="1"/>
    <x v="20"/>
    <x v="1"/>
    <x v="4"/>
    <x v="0"/>
    <x v="20"/>
    <x v="33"/>
    <x v="4"/>
    <x v="5"/>
    <x v="4"/>
    <x v="316"/>
    <x v="128"/>
    <x v="0"/>
  </r>
  <r>
    <x v="169"/>
    <x v="4"/>
    <x v="303"/>
    <x v="16"/>
    <x v="126"/>
    <x v="122"/>
    <x v="4"/>
    <x v="0"/>
    <x v="0"/>
    <x v="265"/>
    <x v="217"/>
    <x v="1"/>
    <x v="23"/>
    <x v="4"/>
    <x v="9"/>
    <x v="6"/>
    <x v="30"/>
    <x v="30"/>
    <x v="28"/>
    <x v="34"/>
    <x v="22"/>
    <x v="289"/>
    <x v="155"/>
    <x v="0"/>
  </r>
  <r>
    <x v="169"/>
    <x v="4"/>
    <x v="457"/>
    <x v="12"/>
    <x v="158"/>
    <x v="53"/>
    <x v="4"/>
    <x v="0"/>
    <x v="1"/>
    <x v="284"/>
    <x v="340"/>
    <x v="1"/>
    <x v="26"/>
    <x v="9"/>
    <x v="3"/>
    <x v="8"/>
    <x v="35"/>
    <x v="20"/>
    <x v="8"/>
    <x v="28"/>
    <x v="26"/>
    <x v="249"/>
    <x v="195"/>
    <x v="0"/>
  </r>
  <r>
    <x v="169"/>
    <x v="4"/>
    <x v="280"/>
    <x v="12"/>
    <x v="136"/>
    <x v="53"/>
    <x v="4"/>
    <x v="0"/>
    <x v="1"/>
    <x v="285"/>
    <x v="205"/>
    <x v="1"/>
    <x v="39"/>
    <x v="2"/>
    <x v="29"/>
    <x v="8"/>
    <x v="35"/>
    <x v="20"/>
    <x v="8"/>
    <x v="28"/>
    <x v="26"/>
    <x v="101"/>
    <x v="343"/>
    <x v="0"/>
  </r>
  <r>
    <x v="169"/>
    <x v="4"/>
    <x v="396"/>
    <x v="1"/>
    <x v="210"/>
    <x v="53"/>
    <x v="4"/>
    <x v="0"/>
    <x v="1"/>
    <x v="285"/>
    <x v="299"/>
    <x v="1"/>
    <x v="37"/>
    <x v="6"/>
    <x v="12"/>
    <x v="20"/>
    <x v="14"/>
    <x v="23"/>
    <x v="29"/>
    <x v="31"/>
    <x v="5"/>
    <x v="130"/>
    <x v="314"/>
    <x v="0"/>
  </r>
  <r>
    <x v="169"/>
    <x v="4"/>
    <x v="350"/>
    <x v="1"/>
    <x v="210"/>
    <x v="53"/>
    <x v="4"/>
    <x v="0"/>
    <x v="0"/>
    <x v="286"/>
    <x v="258"/>
    <x v="1"/>
    <x v="25"/>
    <x v="9"/>
    <x v="7"/>
    <x v="20"/>
    <x v="14"/>
    <x v="23"/>
    <x v="29"/>
    <x v="31"/>
    <x v="5"/>
    <x v="259"/>
    <x v="185"/>
    <x v="0"/>
  </r>
  <r>
    <x v="170"/>
    <x v="5"/>
    <x v="425"/>
    <x v="38"/>
    <x v="42"/>
    <x v="77"/>
    <x v="5"/>
    <x v="1"/>
    <x v="1"/>
    <x v="41"/>
    <x v="320"/>
    <x v="0"/>
    <x v="47"/>
    <x v="8"/>
    <x v="19"/>
    <x v="19"/>
    <x v="38"/>
    <x v="17"/>
    <x v="3"/>
    <x v="15"/>
    <x v="36"/>
    <x v="34"/>
    <x v="410"/>
    <x v="0"/>
  </r>
  <r>
    <x v="170"/>
    <x v="13"/>
    <x v="355"/>
    <x v="38"/>
    <x v="111"/>
    <x v="182"/>
    <x v="13"/>
    <x v="1"/>
    <x v="1"/>
    <x v="56"/>
    <x v="263"/>
    <x v="0"/>
    <x v="33"/>
    <x v="0"/>
    <x v="6"/>
    <x v="19"/>
    <x v="38"/>
    <x v="17"/>
    <x v="3"/>
    <x v="15"/>
    <x v="36"/>
    <x v="176"/>
    <x v="268"/>
    <x v="0"/>
  </r>
  <r>
    <x v="170"/>
    <x v="10"/>
    <x v="154"/>
    <x v="34"/>
    <x v="87"/>
    <x v="37"/>
    <x v="10"/>
    <x v="1"/>
    <x v="1"/>
    <x v="96"/>
    <x v="115"/>
    <x v="0"/>
    <x v="36"/>
    <x v="8"/>
    <x v="25"/>
    <x v="35"/>
    <x v="21"/>
    <x v="14"/>
    <x v="20"/>
    <x v="19"/>
    <x v="27"/>
    <x v="139"/>
    <x v="305"/>
    <x v="0"/>
  </r>
  <r>
    <x v="170"/>
    <x v="10"/>
    <x v="154"/>
    <x v="34"/>
    <x v="87"/>
    <x v="37"/>
    <x v="10"/>
    <x v="1"/>
    <x v="1"/>
    <x v="96"/>
    <x v="115"/>
    <x v="0"/>
    <x v="36"/>
    <x v="8"/>
    <x v="25"/>
    <x v="35"/>
    <x v="21"/>
    <x v="14"/>
    <x v="20"/>
    <x v="19"/>
    <x v="27"/>
    <x v="139"/>
    <x v="305"/>
    <x v="0"/>
  </r>
  <r>
    <x v="170"/>
    <x v="5"/>
    <x v="105"/>
    <x v="38"/>
    <x v="25"/>
    <x v="76"/>
    <x v="5"/>
    <x v="0"/>
    <x v="0"/>
    <x v="152"/>
    <x v="69"/>
    <x v="0"/>
    <x v="37"/>
    <x v="4"/>
    <x v="6"/>
    <x v="19"/>
    <x v="38"/>
    <x v="17"/>
    <x v="3"/>
    <x v="15"/>
    <x v="36"/>
    <x v="132"/>
    <x v="312"/>
    <x v="0"/>
  </r>
  <r>
    <x v="170"/>
    <x v="5"/>
    <x v="99"/>
    <x v="38"/>
    <x v="7"/>
    <x v="230"/>
    <x v="5"/>
    <x v="1"/>
    <x v="1"/>
    <x v="190"/>
    <x v="64"/>
    <x v="0"/>
    <x v="31"/>
    <x v="6"/>
    <x v="3"/>
    <x v="19"/>
    <x v="38"/>
    <x v="17"/>
    <x v="3"/>
    <x v="15"/>
    <x v="36"/>
    <x v="186"/>
    <x v="258"/>
    <x v="0"/>
  </r>
  <r>
    <x v="170"/>
    <x v="2"/>
    <x v="332"/>
    <x v="14"/>
    <x v="89"/>
    <x v="170"/>
    <x v="2"/>
    <x v="0"/>
    <x v="1"/>
    <x v="246"/>
    <x v="243"/>
    <x v="0"/>
    <x v="18"/>
    <x v="4"/>
    <x v="12"/>
    <x v="30"/>
    <x v="23"/>
    <x v="4"/>
    <x v="5"/>
    <x v="8"/>
    <x v="35"/>
    <x v="340"/>
    <x v="104"/>
    <x v="0"/>
  </r>
  <r>
    <x v="170"/>
    <x v="5"/>
    <x v="421"/>
    <x v="38"/>
    <x v="37"/>
    <x v="105"/>
    <x v="5"/>
    <x v="0"/>
    <x v="1"/>
    <x v="268"/>
    <x v="317"/>
    <x v="0"/>
    <x v="24"/>
    <x v="5"/>
    <x v="5"/>
    <x v="19"/>
    <x v="38"/>
    <x v="17"/>
    <x v="3"/>
    <x v="15"/>
    <x v="36"/>
    <x v="277"/>
    <x v="167"/>
    <x v="0"/>
  </r>
  <r>
    <x v="170"/>
    <x v="6"/>
    <x v="259"/>
    <x v="38"/>
    <x v="18"/>
    <x v="1"/>
    <x v="6"/>
    <x v="1"/>
    <x v="0"/>
    <x v="287"/>
    <x v="188"/>
    <x v="0"/>
    <x v="17"/>
    <x v="0"/>
    <x v="1"/>
    <x v="19"/>
    <x v="38"/>
    <x v="17"/>
    <x v="3"/>
    <x v="15"/>
    <x v="36"/>
    <x v="355"/>
    <x v="89"/>
    <x v="0"/>
  </r>
  <r>
    <x v="170"/>
    <x v="6"/>
    <x v="403"/>
    <x v="38"/>
    <x v="18"/>
    <x v="1"/>
    <x v="6"/>
    <x v="1"/>
    <x v="1"/>
    <x v="287"/>
    <x v="303"/>
    <x v="0"/>
    <x v="10"/>
    <x v="11"/>
    <x v="23"/>
    <x v="19"/>
    <x v="38"/>
    <x v="17"/>
    <x v="3"/>
    <x v="15"/>
    <x v="36"/>
    <x v="406"/>
    <x v="38"/>
    <x v="0"/>
  </r>
  <r>
    <x v="170"/>
    <x v="14"/>
    <x v="123"/>
    <x v="38"/>
    <x v="8"/>
    <x v="169"/>
    <x v="14"/>
    <x v="0"/>
    <x v="1"/>
    <x v="293"/>
    <x v="85"/>
    <x v="0"/>
    <x v="18"/>
    <x v="7"/>
    <x v="29"/>
    <x v="19"/>
    <x v="38"/>
    <x v="17"/>
    <x v="3"/>
    <x v="15"/>
    <x v="36"/>
    <x v="337"/>
    <x v="107"/>
    <x v="0"/>
  </r>
  <r>
    <x v="170"/>
    <x v="5"/>
    <x v="275"/>
    <x v="38"/>
    <x v="37"/>
    <x v="78"/>
    <x v="5"/>
    <x v="1"/>
    <x v="1"/>
    <x v="366"/>
    <x v="201"/>
    <x v="0"/>
    <x v="34"/>
    <x v="4"/>
    <x v="21"/>
    <x v="19"/>
    <x v="38"/>
    <x v="17"/>
    <x v="3"/>
    <x v="15"/>
    <x v="36"/>
    <x v="164"/>
    <x v="280"/>
    <x v="0"/>
  </r>
  <r>
    <x v="170"/>
    <x v="10"/>
    <x v="371"/>
    <x v="38"/>
    <x v="175"/>
    <x v="85"/>
    <x v="10"/>
    <x v="1"/>
    <x v="1"/>
    <x v="368"/>
    <x v="273"/>
    <x v="0"/>
    <x v="15"/>
    <x v="4"/>
    <x v="18"/>
    <x v="19"/>
    <x v="38"/>
    <x v="17"/>
    <x v="3"/>
    <x v="15"/>
    <x v="36"/>
    <x v="372"/>
    <x v="72"/>
    <x v="0"/>
  </r>
  <r>
    <x v="170"/>
    <x v="6"/>
    <x v="112"/>
    <x v="12"/>
    <x v="211"/>
    <x v="177"/>
    <x v="6"/>
    <x v="1"/>
    <x v="1"/>
    <x v="374"/>
    <x v="75"/>
    <x v="0"/>
    <x v="19"/>
    <x v="5"/>
    <x v="1"/>
    <x v="8"/>
    <x v="35"/>
    <x v="20"/>
    <x v="8"/>
    <x v="28"/>
    <x v="26"/>
    <x v="328"/>
    <x v="116"/>
    <x v="0"/>
  </r>
  <r>
    <x v="170"/>
    <x v="4"/>
    <x v="260"/>
    <x v="36"/>
    <x v="1"/>
    <x v="187"/>
    <x v="4"/>
    <x v="1"/>
    <x v="1"/>
    <x v="385"/>
    <x v="189"/>
    <x v="0"/>
    <x v="29"/>
    <x v="10"/>
    <x v="14"/>
    <x v="13"/>
    <x v="13"/>
    <x v="16"/>
    <x v="0"/>
    <x v="0"/>
    <x v="7"/>
    <x v="211"/>
    <x v="233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E1:F9" firstHeaderRow="1" firstDataRow="1" firstDataCol="1"/>
  <pivotFields count="2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showAll="0" defaultSubtotal="0" outline="0">
      <items count="44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</items>
    </pivotField>
    <pivotField compact="0" showAll="0"/>
    <pivotField compact="0" showAll="0"/>
  </pivotFields>
  <rowFields count="1">
    <field x="21"/>
  </rowFields>
  <rowItems count="8">
    <i>
      <x v="0"/>
    </i>
    <i>
      <x v="1"/>
    </i>
    <i>
      <x v="2"/>
    </i>
    <i>
      <x v="3"/>
    </i>
    <i>
      <x v="4"/>
    </i>
    <i>
      <x v="5"/>
    </i>
    <i>
      <x v="6"/>
    </i>
    <i t="grand">
      <x v="7"/>
    </i>
  </rowItems>
  <colItems count="1">
    <i t="grand">
      <x v="0"/>
    </i>
  </colItems>
  <dataFields count="1">
    <dataField name="Cont.Núm - IDADE ATUAL*" fld="21" subtotal="count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D1:D2" firstHeaderRow="1" firstDataRow="1" firstDataCol="0"/>
  <pivotFields count="24">
    <pivotField compact="0" showAll="0"/>
    <pivotField compact="0" showAll="0"/>
    <pivotField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Items count="1">
    <i t="grand">
      <x v="0"/>
    </i>
  </rowItems>
  <colItems count="1">
    <i t="grand">
      <x v="0"/>
    </i>
  </colItems>
  <dataFields count="1">
    <dataField name="Soma - FORTUNA FINAL" fld="11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areerprinciples.com/courses/excel-for-business-finance" TargetMode="External"/><Relationship Id="rId2" Type="http://schemas.openxmlformats.org/officeDocument/2006/relationships/hyperlink" Target="https://www.youtube.com/c/KenjiExplains/featured" TargetMode="External"/><Relationship Id="rId3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0.83984375" defaultRowHeight="15" customHeight="true" zeroHeight="false" outlineLevelRow="0" outlineLevelCol="0"/>
  <cols>
    <col collapsed="false" customWidth="false" hidden="false" outlineLevel="0" max="1" min="1" style="1" width="10.84"/>
    <col collapsed="false" customWidth="true" hidden="false" outlineLevel="0" max="2" min="2" style="1" width="8.5"/>
    <col collapsed="false" customWidth="true" hidden="false" outlineLevel="0" max="3" min="3" style="1" width="102.67"/>
    <col collapsed="false" customWidth="true" hidden="false" outlineLevel="0" max="4" min="4" style="1" width="9.5"/>
    <col collapsed="false" customWidth="false" hidden="false" outlineLevel="0" max="16384" min="5" style="1" width="10.84"/>
  </cols>
  <sheetData>
    <row r="3" customFormat="false" ht="57.45" hidden="false" customHeight="false" outlineLevel="0" collapsed="false">
      <c r="B3" s="2"/>
      <c r="C3" s="3" t="s">
        <v>0</v>
      </c>
      <c r="D3" s="4"/>
    </row>
    <row r="4" customFormat="false" ht="54" hidden="false" customHeight="true" outlineLevel="0" collapsed="false">
      <c r="B4" s="5"/>
      <c r="C4" s="6"/>
      <c r="D4" s="7"/>
    </row>
    <row r="5" customFormat="false" ht="31.5" hidden="false" customHeight="true" outlineLevel="0" collapsed="false">
      <c r="B5" s="5"/>
      <c r="C5" s="6"/>
      <c r="D5" s="7"/>
    </row>
    <row r="6" customFormat="false" ht="15" hidden="false" customHeight="false" outlineLevel="0" collapsed="false">
      <c r="B6" s="5"/>
      <c r="D6" s="7"/>
    </row>
    <row r="7" s="8" customFormat="true" ht="20.85" hidden="false" customHeight="false" outlineLevel="0" collapsed="false">
      <c r="B7" s="9"/>
      <c r="C7" s="10" t="s">
        <v>1</v>
      </c>
      <c r="D7" s="11"/>
    </row>
    <row r="8" s="8" customFormat="true" ht="15" hidden="false" customHeight="false" outlineLevel="0" collapsed="false">
      <c r="B8" s="9"/>
      <c r="C8" s="12"/>
      <c r="D8" s="11"/>
    </row>
    <row r="9" s="13" customFormat="true" ht="23.1" hidden="false" customHeight="false" outlineLevel="0" collapsed="false">
      <c r="B9" s="14"/>
      <c r="C9" s="15" t="s">
        <v>2</v>
      </c>
      <c r="D9" s="16"/>
    </row>
    <row r="10" customFormat="false" ht="15" hidden="false" customHeight="false" outlineLevel="0" collapsed="false">
      <c r="B10" s="5"/>
      <c r="D10" s="7"/>
    </row>
    <row r="11" customFormat="false" ht="18" hidden="false" customHeight="false" outlineLevel="0" collapsed="false">
      <c r="B11" s="5"/>
      <c r="C11" s="17" t="s">
        <v>3</v>
      </c>
      <c r="D11" s="7"/>
    </row>
    <row r="12" customFormat="false" ht="15" hidden="false" customHeight="false" outlineLevel="0" collapsed="false">
      <c r="B12" s="5"/>
      <c r="D12" s="7"/>
    </row>
    <row r="13" customFormat="false" ht="15" hidden="false" customHeight="false" outlineLevel="0" collapsed="false">
      <c r="B13" s="5"/>
      <c r="C13" s="18" t="s">
        <v>4</v>
      </c>
      <c r="D13" s="7"/>
    </row>
    <row r="14" customFormat="false" ht="15" hidden="false" customHeight="false" outlineLevel="0" collapsed="false">
      <c r="B14" s="5"/>
      <c r="C14" s="1" t="s">
        <v>5</v>
      </c>
      <c r="D14" s="7"/>
    </row>
    <row r="15" customFormat="false" ht="29.85" hidden="false" customHeight="false" outlineLevel="0" collapsed="false">
      <c r="B15" s="5"/>
      <c r="C15" s="19" t="s">
        <v>6</v>
      </c>
      <c r="D15" s="7"/>
    </row>
    <row r="16" customFormat="false" ht="15" hidden="false" customHeight="false" outlineLevel="0" collapsed="false">
      <c r="B16" s="20"/>
      <c r="C16" s="21"/>
      <c r="D16" s="22"/>
    </row>
  </sheetData>
  <sheetProtection algorithmName="SHA-512" hashValue="G1RY5hOcqj4suHHa1tx1y0eYlLPpf95bmL4lYksRikKFwHedZlTCT3jrCsJQbTdg98ZLWbWzP+gWHNd0JpLWSw==" saltValue="OqagwMq3QH3a3V1+ahgTuw==" spinCount="100000" sheet="true" objects="true" scenarios="true"/>
  <hyperlinks>
    <hyperlink ref="C9" r:id="rId1" display="Get our Excel for Business and Finance course."/>
    <hyperlink ref="C11" r:id="rId2" display="Made by Career Principles Ltd.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0.66796875" defaultRowHeight="15" customHeight="true" zeroHeight="false" outlineLevelRow="0" outlineLevelCol="0"/>
  <cols>
    <col collapsed="false" customWidth="true" hidden="false" outlineLevel="0" max="1" min="1" style="23" width="14.28"/>
    <col collapsed="false" customWidth="true" hidden="false" outlineLevel="0" max="2" min="2" style="23" width="23.87"/>
    <col collapsed="false" customWidth="true" hidden="false" outlineLevel="0" max="3" min="3" style="23" width="35.82"/>
    <col collapsed="false" customWidth="true" hidden="false" outlineLevel="0" max="4" min="4" style="23" width="19.02"/>
    <col collapsed="false" customWidth="true" hidden="false" outlineLevel="0" max="5" min="5" style="23" width="18.9"/>
    <col collapsed="false" customWidth="true" hidden="false" outlineLevel="0" max="6" min="6" style="23" width="32.17"/>
    <col collapsed="false" customWidth="true" hidden="false" outlineLevel="0" max="7" min="7" style="23" width="23.87"/>
    <col collapsed="false" customWidth="true" hidden="false" outlineLevel="0" max="8" min="8" style="23" width="17.37"/>
    <col collapsed="false" customWidth="true" hidden="false" outlineLevel="0" max="9" min="9" style="23" width="12.28"/>
    <col collapsed="false" customWidth="true" hidden="false" outlineLevel="0" max="10" min="10" style="23" width="19.38"/>
    <col collapsed="false" customWidth="true" hidden="false" outlineLevel="0" max="11" min="11" style="23" width="15.83"/>
    <col collapsed="false" customWidth="true" hidden="false" outlineLevel="0" max="12" min="12" style="23" width="15.71"/>
    <col collapsed="false" customWidth="true" hidden="false" outlineLevel="0" max="13" min="13" style="23" width="17.01"/>
    <col collapsed="false" customWidth="true" hidden="false" outlineLevel="0" max="14" min="14" style="23" width="16.89"/>
    <col collapsed="false" customWidth="true" hidden="false" outlineLevel="0" max="15" min="15" style="23" width="16.3"/>
    <col collapsed="false" customWidth="true" hidden="false" outlineLevel="0" max="16" min="16" style="23" width="11.45"/>
    <col collapsed="false" customWidth="true" hidden="false" outlineLevel="0" max="17" min="17" style="24" width="22.76"/>
    <col collapsed="false" customWidth="true" hidden="false" outlineLevel="0" max="18" min="18" style="23" width="19.97"/>
    <col collapsed="false" customWidth="true" hidden="false" outlineLevel="0" max="19" min="19" style="23" width="14.28"/>
    <col collapsed="false" customWidth="true" hidden="false" outlineLevel="0" max="20" min="20" style="23" width="29.91"/>
    <col collapsed="false" customWidth="true" hidden="false" outlineLevel="0" max="21" min="21" style="23" width="19.02"/>
    <col collapsed="false" customWidth="true" hidden="false" outlineLevel="0" max="22" min="22" style="25" width="17.37"/>
    <col collapsed="false" customWidth="true" hidden="false" outlineLevel="0" max="23" min="23" style="26" width="13.83"/>
    <col collapsed="false" customWidth="true" hidden="false" outlineLevel="0" max="24" min="24" style="27" width="14.28"/>
    <col collapsed="false" customWidth="true" hidden="false" outlineLevel="0" max="25" min="25" style="27" width="13.83"/>
    <col collapsed="false" customWidth="true" hidden="false" outlineLevel="0" max="26" min="26" style="23" width="18.65"/>
    <col collapsed="false" customWidth="true" hidden="false" outlineLevel="0" max="27" min="27" style="23" width="20.4"/>
    <col collapsed="false" customWidth="true" hidden="false" outlineLevel="0" max="28" min="28" style="23" width="20.86"/>
    <col collapsed="false" customWidth="true" hidden="false" outlineLevel="0" max="29" min="29" style="23" width="19.75"/>
    <col collapsed="false" customWidth="true" hidden="false" outlineLevel="0" max="30" min="30" style="23" width="18.65"/>
    <col collapsed="false" customWidth="true" hidden="false" outlineLevel="0" max="31" min="31" style="23" width="23.87"/>
    <col collapsed="false" customWidth="true" hidden="false" outlineLevel="0" max="32" min="32" style="23" width="20.71"/>
    <col collapsed="false" customWidth="true" hidden="false" outlineLevel="0" max="33" min="33" style="23" width="19.75"/>
    <col collapsed="false" customWidth="true" hidden="false" outlineLevel="0" max="35" min="34" style="23" width="31.15"/>
    <col collapsed="false" customWidth="true" hidden="false" outlineLevel="0" max="37" min="36" style="23" width="20.4"/>
  </cols>
  <sheetData>
    <row r="1" s="31" customFormat="true" ht="15" hidden="false" customHeight="false" outlineLevel="0" collapsed="false">
      <c r="A1" s="28" t="s">
        <v>7</v>
      </c>
      <c r="B1" s="28" t="s">
        <v>8</v>
      </c>
      <c r="C1" s="28" t="s">
        <v>9</v>
      </c>
      <c r="D1" s="28" t="s">
        <v>10</v>
      </c>
      <c r="E1" s="28" t="s">
        <v>11</v>
      </c>
      <c r="F1" s="28" t="s">
        <v>12</v>
      </c>
      <c r="G1" s="28" t="s">
        <v>13</v>
      </c>
      <c r="H1" s="28" t="s">
        <v>14</v>
      </c>
      <c r="I1" s="28" t="s">
        <v>15</v>
      </c>
      <c r="J1" s="28" t="s">
        <v>16</v>
      </c>
      <c r="K1" s="28" t="s">
        <v>17</v>
      </c>
      <c r="L1" s="28" t="s">
        <v>18</v>
      </c>
      <c r="M1" s="28" t="s">
        <v>19</v>
      </c>
      <c r="N1" s="28" t="s">
        <v>20</v>
      </c>
      <c r="O1" s="28" t="s">
        <v>21</v>
      </c>
      <c r="P1" s="28" t="s">
        <v>22</v>
      </c>
      <c r="Q1" s="29" t="s">
        <v>23</v>
      </c>
      <c r="R1" s="28" t="s">
        <v>24</v>
      </c>
      <c r="S1" s="28" t="s">
        <v>25</v>
      </c>
      <c r="T1" s="28" t="s">
        <v>26</v>
      </c>
      <c r="U1" s="28" t="s">
        <v>27</v>
      </c>
      <c r="V1" s="28" t="s">
        <v>28</v>
      </c>
      <c r="W1" s="28" t="s">
        <v>29</v>
      </c>
      <c r="X1" s="28" t="s">
        <v>30</v>
      </c>
      <c r="Y1" s="27"/>
      <c r="Z1" s="23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</row>
    <row r="2" customFormat="false" ht="15" hidden="false" customHeight="false" outlineLevel="0" collapsed="false">
      <c r="A2" s="23" t="n">
        <v>1</v>
      </c>
      <c r="B2" s="23" t="s">
        <v>31</v>
      </c>
      <c r="C2" s="23" t="s">
        <v>32</v>
      </c>
      <c r="D2" s="23" t="s">
        <v>33</v>
      </c>
      <c r="E2" s="23" t="s">
        <v>34</v>
      </c>
      <c r="F2" s="23" t="s">
        <v>35</v>
      </c>
      <c r="G2" s="23" t="s">
        <v>31</v>
      </c>
      <c r="H2" s="32" t="s">
        <v>36</v>
      </c>
      <c r="I2" s="23" t="s">
        <v>37</v>
      </c>
      <c r="J2" s="23" t="s">
        <v>38</v>
      </c>
      <c r="K2" s="23" t="s">
        <v>39</v>
      </c>
      <c r="L2" s="23" t="n">
        <v>211000</v>
      </c>
      <c r="M2" s="23" t="n">
        <v>1949</v>
      </c>
      <c r="N2" s="23" t="n">
        <v>3</v>
      </c>
      <c r="O2" s="23" t="n">
        <v>5</v>
      </c>
      <c r="P2" s="23" t="n">
        <v>110.05</v>
      </c>
      <c r="Q2" s="24" t="n">
        <v>2715518274227</v>
      </c>
      <c r="R2" s="23" t="n">
        <v>82.5</v>
      </c>
      <c r="S2" s="23" t="n">
        <v>24.2</v>
      </c>
      <c r="T2" s="23" t="n">
        <v>60.7</v>
      </c>
      <c r="U2" s="23" t="n">
        <v>67059887</v>
      </c>
      <c r="V2" s="33" t="n">
        <f aca="false">YEARFRAC(W2,X2,1)</f>
        <v>76.8801993751975</v>
      </c>
      <c r="W2" s="34" t="n">
        <f aca="false">DATE(M2,N2,O2)</f>
        <v>17962</v>
      </c>
      <c r="X2" s="34" t="n">
        <f aca="true">TODAY()</f>
        <v>46042</v>
      </c>
      <c r="Z2" s="27"/>
      <c r="AA2" s="28" t="s">
        <v>18</v>
      </c>
      <c r="AB2" s="28" t="s">
        <v>19</v>
      </c>
      <c r="AC2" s="28" t="s">
        <v>20</v>
      </c>
      <c r="AD2" s="28" t="s">
        <v>21</v>
      </c>
      <c r="AE2" s="28" t="s">
        <v>22</v>
      </c>
      <c r="AF2" s="28" t="s">
        <v>23</v>
      </c>
      <c r="AG2" s="28" t="s">
        <v>24</v>
      </c>
      <c r="AH2" s="28" t="s">
        <v>25</v>
      </c>
      <c r="AI2" s="28" t="s">
        <v>26</v>
      </c>
      <c r="AJ2" s="28" t="s">
        <v>27</v>
      </c>
      <c r="AK2" s="28" t="s">
        <v>28</v>
      </c>
    </row>
    <row r="3" customFormat="false" ht="15" hidden="false" customHeight="false" outlineLevel="0" collapsed="false">
      <c r="A3" s="23" t="n">
        <v>2</v>
      </c>
      <c r="B3" s="23" t="s">
        <v>40</v>
      </c>
      <c r="C3" s="23" t="s">
        <v>41</v>
      </c>
      <c r="D3" s="23" t="s">
        <v>42</v>
      </c>
      <c r="E3" s="23" t="s">
        <v>43</v>
      </c>
      <c r="F3" s="23" t="s">
        <v>44</v>
      </c>
      <c r="G3" s="23" t="s">
        <v>40</v>
      </c>
      <c r="H3" s="32" t="s">
        <v>45</v>
      </c>
      <c r="I3" s="23" t="s">
        <v>37</v>
      </c>
      <c r="J3" s="23" t="s">
        <v>46</v>
      </c>
      <c r="K3" s="23" t="s">
        <v>47</v>
      </c>
      <c r="L3" s="23" t="n">
        <v>180000</v>
      </c>
      <c r="M3" s="23" t="n">
        <v>1971</v>
      </c>
      <c r="N3" s="23" t="n">
        <v>6</v>
      </c>
      <c r="O3" s="23" t="n">
        <v>28</v>
      </c>
      <c r="P3" s="23" t="n">
        <v>117.24</v>
      </c>
      <c r="Q3" s="24" t="n">
        <v>21427700000000</v>
      </c>
      <c r="R3" s="23" t="n">
        <v>78.5</v>
      </c>
      <c r="S3" s="23" t="n">
        <v>9.6</v>
      </c>
      <c r="T3" s="23" t="n">
        <v>36.6</v>
      </c>
      <c r="U3" s="23" t="n">
        <v>328239523</v>
      </c>
      <c r="V3" s="33" t="n">
        <f aca="false">YEARFRAC(W3,X3,1)</f>
        <v>54.5653661875428</v>
      </c>
      <c r="W3" s="34" t="n">
        <f aca="false">DATE(M3,N3,O3)</f>
        <v>26112</v>
      </c>
      <c r="X3" s="34" t="n">
        <f aca="true">TODAY()</f>
        <v>46042</v>
      </c>
      <c r="Z3" s="35" t="s">
        <v>48</v>
      </c>
      <c r="AA3" s="23" t="n">
        <f aca="false">AVERAGE($L:$L)</f>
        <v>15011.0187110187</v>
      </c>
      <c r="AB3" s="23" t="n">
        <f aca="false">AVERAGE($M:$M)</f>
        <v>1955.23492723493</v>
      </c>
      <c r="AC3" s="23" t="n">
        <f aca="false">AVERAGE($N:$N)</f>
        <v>5.91476091476091</v>
      </c>
      <c r="AD3" s="23" t="n">
        <f aca="false">AVERAGE($O:$O)</f>
        <v>13.039501039501</v>
      </c>
      <c r="AE3" s="23" t="n">
        <f aca="false">AVERAGE($P:$P)</f>
        <v>124.820561330561</v>
      </c>
      <c r="AF3" s="23" t="n">
        <f aca="false">AVERAGE($Q:$Q)</f>
        <v>12401534153780.6</v>
      </c>
      <c r="AG3" s="23" t="n">
        <f aca="false">AVERAGE($R:$R)</f>
        <v>78.3590436590437</v>
      </c>
      <c r="AH3" s="23" t="n">
        <f aca="false">AVERAGE($S:$S)</f>
        <v>12.7407484407484</v>
      </c>
      <c r="AI3" s="23" t="n">
        <f aca="false">AVERAGE($T:$T)</f>
        <v>42.1446985446986</v>
      </c>
      <c r="AJ3" s="23" t="n">
        <f aca="false">AVERAGE($U:$U)</f>
        <v>430705249.56341</v>
      </c>
      <c r="AK3" s="23" t="n">
        <f aca="false">AVERAGE($V:$V)</f>
        <v>70.3770501836304</v>
      </c>
    </row>
    <row r="4" customFormat="false" ht="15" hidden="false" customHeight="false" outlineLevel="0" collapsed="false">
      <c r="A4" s="23" t="n">
        <v>3</v>
      </c>
      <c r="B4" s="23" t="s">
        <v>49</v>
      </c>
      <c r="C4" s="23" t="s">
        <v>50</v>
      </c>
      <c r="D4" s="23" t="s">
        <v>42</v>
      </c>
      <c r="E4" s="23" t="s">
        <v>51</v>
      </c>
      <c r="F4" s="23" t="s">
        <v>52</v>
      </c>
      <c r="G4" s="23" t="s">
        <v>49</v>
      </c>
      <c r="H4" s="32" t="s">
        <v>45</v>
      </c>
      <c r="I4" s="23" t="s">
        <v>37</v>
      </c>
      <c r="J4" s="23" t="s">
        <v>53</v>
      </c>
      <c r="K4" s="23" t="s">
        <v>54</v>
      </c>
      <c r="L4" s="23" t="n">
        <v>114000</v>
      </c>
      <c r="M4" s="23" t="n">
        <v>1964</v>
      </c>
      <c r="N4" s="23" t="n">
        <v>1</v>
      </c>
      <c r="O4" s="23" t="n">
        <v>12</v>
      </c>
      <c r="P4" s="23" t="n">
        <v>117.24</v>
      </c>
      <c r="Q4" s="24" t="n">
        <v>21427700000000</v>
      </c>
      <c r="R4" s="23" t="n">
        <v>78.5</v>
      </c>
      <c r="S4" s="23" t="n">
        <v>9.6</v>
      </c>
      <c r="T4" s="23" t="n">
        <v>36.6</v>
      </c>
      <c r="U4" s="23" t="n">
        <v>328239523</v>
      </c>
      <c r="V4" s="33" t="n">
        <f aca="false">YEARFRAC(W4,X4,1)</f>
        <v>62.0225978879666</v>
      </c>
      <c r="W4" s="34" t="n">
        <f aca="false">DATE(M4,N4,O4)</f>
        <v>23388</v>
      </c>
      <c r="X4" s="34" t="n">
        <f aca="true">TODAY()</f>
        <v>46042</v>
      </c>
      <c r="Z4" s="36" t="s">
        <v>55</v>
      </c>
      <c r="AA4" s="23" t="n">
        <f aca="false">SQRT(VAR($L:$L)/COUNT($L:$L))</f>
        <v>923.722525374587</v>
      </c>
      <c r="AB4" s="23" t="n">
        <f aca="false">SQRT(VAR($M:$M)/COUNT($M:$M))</f>
        <v>0.60761672312226</v>
      </c>
      <c r="AC4" s="23" t="n">
        <f aca="false">SQRT(VAR($N:$N)/COUNT($N:$N))</f>
        <v>0.161789857724928</v>
      </c>
      <c r="AD4" s="23" t="n">
        <f aca="false">SQRT(VAR($O:$O)/COUNT($O:$O))</f>
        <v>0.445633360118408</v>
      </c>
      <c r="AE4" s="23" t="n">
        <f aca="false">SQRT(VAR($P:$P)/COUNT($P:$P))</f>
        <v>1.1402208078998</v>
      </c>
      <c r="AF4" s="23" t="n">
        <f aca="false">SQRT(VAR($Q:$Q)/COUNT($Q:$Q))</f>
        <v>438740937693</v>
      </c>
      <c r="AG4" s="23" t="n">
        <f aca="false">SQRT(VAR($R:$R)/COUNT($R:$R))</f>
        <v>0.175410655195196</v>
      </c>
      <c r="AH4" s="23" t="n">
        <f aca="false">SQRT(VAR($S:$S)/COUNT($S:$S))</f>
        <v>0.280507915124839</v>
      </c>
      <c r="AI4" s="23" t="n">
        <f aca="false">SQRT(VAR($T:$T)/COUNT($T:$T))</f>
        <v>0.516871490127231</v>
      </c>
      <c r="AJ4" s="23" t="n">
        <f aca="false">SQRT(VAR($U:$U)/COUNT($U:$U))</f>
        <v>22472991.8113279</v>
      </c>
      <c r="AK4" s="23" t="n">
        <f aca="false">SQRT(VAR($V:$V)/COUNT($V:$V))</f>
        <v>0.607572001154282</v>
      </c>
    </row>
    <row r="5" customFormat="false" ht="15" hidden="false" customHeight="false" outlineLevel="0" collapsed="false">
      <c r="A5" s="23" t="n">
        <v>4</v>
      </c>
      <c r="B5" s="23" t="s">
        <v>49</v>
      </c>
      <c r="C5" s="23" t="s">
        <v>56</v>
      </c>
      <c r="D5" s="23" t="s">
        <v>42</v>
      </c>
      <c r="E5" s="23" t="s">
        <v>57</v>
      </c>
      <c r="F5" s="23" t="s">
        <v>58</v>
      </c>
      <c r="G5" s="23" t="s">
        <v>49</v>
      </c>
      <c r="H5" s="32" t="s">
        <v>45</v>
      </c>
      <c r="I5" s="23" t="s">
        <v>37</v>
      </c>
      <c r="J5" s="23" t="s">
        <v>59</v>
      </c>
      <c r="K5" s="23" t="s">
        <v>60</v>
      </c>
      <c r="L5" s="23" t="n">
        <v>107000</v>
      </c>
      <c r="M5" s="23" t="n">
        <v>1944</v>
      </c>
      <c r="N5" s="23" t="n">
        <v>8</v>
      </c>
      <c r="O5" s="23" t="n">
        <v>17</v>
      </c>
      <c r="P5" s="23" t="n">
        <v>117.24</v>
      </c>
      <c r="Q5" s="24" t="n">
        <v>21427700000000</v>
      </c>
      <c r="R5" s="23" t="n">
        <v>78.5</v>
      </c>
      <c r="S5" s="23" t="n">
        <v>9.6</v>
      </c>
      <c r="T5" s="23" t="n">
        <v>36.6</v>
      </c>
      <c r="U5" s="23" t="n">
        <v>328239523</v>
      </c>
      <c r="V5" s="33" t="n">
        <f aca="false">YEARFRAC(W5,X5,1)</f>
        <v>81.4257487795224</v>
      </c>
      <c r="W5" s="34" t="n">
        <f aca="false">DATE(M5,N5,O5)</f>
        <v>16301</v>
      </c>
      <c r="X5" s="34" t="n">
        <f aca="true">TODAY()</f>
        <v>46042</v>
      </c>
      <c r="Z5" s="35" t="s">
        <v>61</v>
      </c>
      <c r="AA5" s="23" t="n">
        <f aca="false">MODE($L:$L)</f>
        <v>5500</v>
      </c>
      <c r="AB5" s="23" t="n">
        <f aca="false">MODE($M:$M)</f>
        <v>1964</v>
      </c>
      <c r="AC5" s="23" t="n">
        <f aca="false">MODE($N:$N)</f>
        <v>1</v>
      </c>
      <c r="AD5" s="23" t="n">
        <f aca="false">MODE($O:$O)</f>
        <v>1</v>
      </c>
      <c r="AE5" s="23" t="n">
        <f aca="false">MODE($P:$P)</f>
        <v>117.24</v>
      </c>
      <c r="AF5" s="23" t="n">
        <f aca="false">MODE($Q:$Q)</f>
        <v>21427700000000</v>
      </c>
      <c r="AG5" s="23" t="n">
        <f aca="false">MODE($R:$R)</f>
        <v>78.5</v>
      </c>
      <c r="AH5" s="23" t="n">
        <f aca="false">MODE($S:$S)</f>
        <v>9.6</v>
      </c>
      <c r="AI5" s="23" t="n">
        <f aca="false">MODE($T:$T)</f>
        <v>36.6</v>
      </c>
      <c r="AJ5" s="23" t="n">
        <f aca="false">MODE($U:$U)</f>
        <v>328239523</v>
      </c>
      <c r="AK5" s="23" t="n">
        <f aca="false">MODE($V:$V)</f>
        <v>62.0527139194298</v>
      </c>
    </row>
    <row r="6" customFormat="false" ht="15" hidden="false" customHeight="false" outlineLevel="0" collapsed="false">
      <c r="A6" s="23" t="n">
        <v>5</v>
      </c>
      <c r="B6" s="23" t="s">
        <v>62</v>
      </c>
      <c r="C6" s="23" t="s">
        <v>63</v>
      </c>
      <c r="D6" s="23" t="s">
        <v>42</v>
      </c>
      <c r="E6" s="23" t="s">
        <v>64</v>
      </c>
      <c r="F6" s="23" t="s">
        <v>65</v>
      </c>
      <c r="G6" s="23" t="s">
        <v>62</v>
      </c>
      <c r="H6" s="32" t="s">
        <v>45</v>
      </c>
      <c r="I6" s="23" t="s">
        <v>37</v>
      </c>
      <c r="J6" s="23" t="s">
        <v>66</v>
      </c>
      <c r="K6" s="23" t="s">
        <v>67</v>
      </c>
      <c r="L6" s="23" t="n">
        <v>106000</v>
      </c>
      <c r="M6" s="23" t="n">
        <v>1930</v>
      </c>
      <c r="N6" s="23" t="n">
        <v>8</v>
      </c>
      <c r="O6" s="23" t="n">
        <v>30</v>
      </c>
      <c r="P6" s="23" t="n">
        <v>117.24</v>
      </c>
      <c r="Q6" s="24" t="n">
        <v>21427700000000</v>
      </c>
      <c r="R6" s="23" t="n">
        <v>78.5</v>
      </c>
      <c r="S6" s="23" t="n">
        <v>9.6</v>
      </c>
      <c r="T6" s="23" t="n">
        <v>36.6</v>
      </c>
      <c r="U6" s="23" t="n">
        <v>328239523</v>
      </c>
      <c r="V6" s="33" t="n">
        <f aca="false">YEARFRAC(W6,X6,1)</f>
        <v>95.3928702475373</v>
      </c>
      <c r="W6" s="34" t="n">
        <f aca="false">DATE(M6,N6,O6)</f>
        <v>11200</v>
      </c>
      <c r="X6" s="34" t="n">
        <f aca="true">TODAY()</f>
        <v>46042</v>
      </c>
      <c r="Z6" s="35" t="s">
        <v>68</v>
      </c>
      <c r="AA6" s="23" t="n">
        <f aca="false">MEDIAN($L:$L)</f>
        <v>8200</v>
      </c>
      <c r="AB6" s="23" t="n">
        <f aca="false">MEDIAN($M:$M)</f>
        <v>1955</v>
      </c>
      <c r="AC6" s="23" t="n">
        <f aca="false">MEDIAN($N:$N)</f>
        <v>6</v>
      </c>
      <c r="AD6" s="23" t="n">
        <f aca="false">MEDIAN($O:$O)</f>
        <v>12</v>
      </c>
      <c r="AE6" s="23" t="n">
        <f aca="false">MEDIAN($P:$P)</f>
        <v>117.24</v>
      </c>
      <c r="AF6" s="23" t="n">
        <f aca="false">MEDIAN($Q:$Q)</f>
        <v>19910000000000</v>
      </c>
      <c r="AG6" s="23" t="n">
        <f aca="false">MEDIAN($R:$R)</f>
        <v>78.5</v>
      </c>
      <c r="AH6" s="23" t="n">
        <f aca="false">MEDIAN($S:$S)</f>
        <v>9.6</v>
      </c>
      <c r="AI6" s="23" t="n">
        <f aca="false">MEDIAN($T:$T)</f>
        <v>36.6</v>
      </c>
      <c r="AJ6" s="23" t="n">
        <f aca="false">MEDIAN($U:$U)</f>
        <v>328239523</v>
      </c>
      <c r="AK6" s="23" t="n">
        <f aca="false">MEDIAN($V:$V)</f>
        <v>70.3052703627652</v>
      </c>
    </row>
    <row r="7" customFormat="false" ht="15" hidden="false" customHeight="false" outlineLevel="0" collapsed="false">
      <c r="A7" s="23" t="n">
        <v>6</v>
      </c>
      <c r="B7" s="23" t="s">
        <v>49</v>
      </c>
      <c r="C7" s="23" t="s">
        <v>69</v>
      </c>
      <c r="D7" s="23" t="s">
        <v>42</v>
      </c>
      <c r="E7" s="23" t="s">
        <v>51</v>
      </c>
      <c r="F7" s="23" t="s">
        <v>70</v>
      </c>
      <c r="G7" s="23" t="s">
        <v>49</v>
      </c>
      <c r="H7" s="32" t="s">
        <v>45</v>
      </c>
      <c r="I7" s="23" t="s">
        <v>37</v>
      </c>
      <c r="J7" s="23" t="s">
        <v>71</v>
      </c>
      <c r="K7" s="23" t="s">
        <v>72</v>
      </c>
      <c r="L7" s="23" t="n">
        <v>104000</v>
      </c>
      <c r="M7" s="23" t="n">
        <v>1955</v>
      </c>
      <c r="N7" s="23" t="n">
        <v>10</v>
      </c>
      <c r="O7" s="23" t="n">
        <v>28</v>
      </c>
      <c r="P7" s="23" t="n">
        <v>117.24</v>
      </c>
      <c r="Q7" s="24" t="n">
        <v>21427700000000</v>
      </c>
      <c r="R7" s="23" t="n">
        <v>78.5</v>
      </c>
      <c r="S7" s="23" t="n">
        <v>9.6</v>
      </c>
      <c r="T7" s="23" t="n">
        <v>36.6</v>
      </c>
      <c r="U7" s="23" t="n">
        <v>328239523</v>
      </c>
      <c r="V7" s="33" t="n">
        <f aca="false">YEARFRAC(W7,X7,1)</f>
        <v>70.2313483915127</v>
      </c>
      <c r="W7" s="34" t="n">
        <f aca="false">DATE(M7,N7,O7)</f>
        <v>20390</v>
      </c>
      <c r="X7" s="34" t="n">
        <f aca="true">TODAY()</f>
        <v>46042</v>
      </c>
      <c r="Z7" s="35" t="s">
        <v>73</v>
      </c>
      <c r="AA7" s="23" t="n">
        <f aca="false">QUARTILE($L:$L, 1)</f>
        <v>6700</v>
      </c>
      <c r="AB7" s="23" t="n">
        <f aca="false">QUARTILE($M:$M, 1)</f>
        <v>1945</v>
      </c>
      <c r="AC7" s="23" t="n">
        <f aca="false">QUARTILE($N:$N, 1)</f>
        <v>3</v>
      </c>
      <c r="AD7" s="23" t="n">
        <f aca="false">QUARTILE($O:$O, 1)</f>
        <v>3</v>
      </c>
      <c r="AE7" s="23" t="n">
        <f aca="false">QUARTILE($P:$P, 1)</f>
        <v>117.24</v>
      </c>
      <c r="AF7" s="23" t="n">
        <f aca="false">QUARTILE($Q:$Q, 1)</f>
        <v>1736425629520</v>
      </c>
      <c r="AG7" s="23" t="n">
        <f aca="false">QUARTILE($R:$R, 1)</f>
        <v>77</v>
      </c>
      <c r="AH7" s="23" t="n">
        <f aca="false">QUARTILE($S:$S, 1)</f>
        <v>9.6</v>
      </c>
      <c r="AI7" s="23" t="n">
        <f aca="false">QUARTILE($T:$T, 1)</f>
        <v>36.6</v>
      </c>
      <c r="AJ7" s="23" t="n">
        <f aca="false">QUARTILE($U:$U, 1)</f>
        <v>67059887</v>
      </c>
      <c r="AK7" s="23" t="n">
        <f aca="false">QUARTILE($V:$V, 1)</f>
        <v>61.2532701751336</v>
      </c>
    </row>
    <row r="8" customFormat="false" ht="15" hidden="false" customHeight="false" outlineLevel="0" collapsed="false">
      <c r="A8" s="23" t="n">
        <v>6</v>
      </c>
      <c r="B8" s="23" t="s">
        <v>49</v>
      </c>
      <c r="C8" s="23" t="s">
        <v>69</v>
      </c>
      <c r="D8" s="23" t="s">
        <v>42</v>
      </c>
      <c r="E8" s="23" t="s">
        <v>51</v>
      </c>
      <c r="F8" s="23" t="s">
        <v>70</v>
      </c>
      <c r="G8" s="23" t="s">
        <v>49</v>
      </c>
      <c r="H8" s="32" t="s">
        <v>45</v>
      </c>
      <c r="I8" s="23" t="s">
        <v>37</v>
      </c>
      <c r="J8" s="23" t="s">
        <v>71</v>
      </c>
      <c r="K8" s="23" t="s">
        <v>72</v>
      </c>
      <c r="L8" s="23" t="n">
        <v>104000</v>
      </c>
      <c r="M8" s="23" t="n">
        <v>1955</v>
      </c>
      <c r="N8" s="23" t="n">
        <v>10</v>
      </c>
      <c r="O8" s="23" t="n">
        <v>28</v>
      </c>
      <c r="P8" s="23" t="n">
        <v>117.24</v>
      </c>
      <c r="Q8" s="24" t="n">
        <v>21427700000000</v>
      </c>
      <c r="R8" s="23" t="n">
        <v>78.5</v>
      </c>
      <c r="S8" s="23" t="n">
        <v>9.6</v>
      </c>
      <c r="T8" s="23" t="n">
        <v>36.6</v>
      </c>
      <c r="U8" s="23" t="n">
        <v>328239523</v>
      </c>
      <c r="V8" s="33" t="n">
        <f aca="false">YEARFRAC(W8,X8,1)</f>
        <v>70.2313483915127</v>
      </c>
      <c r="W8" s="34" t="n">
        <f aca="false">DATE(M8,N8,O8)</f>
        <v>20390</v>
      </c>
      <c r="X8" s="34" t="n">
        <f aca="true">TODAY()</f>
        <v>46042</v>
      </c>
      <c r="Z8" s="35" t="s">
        <v>74</v>
      </c>
      <c r="AA8" s="23" t="n">
        <f aca="false">QUARTILE($L:$L, 3)</f>
        <v>14200</v>
      </c>
      <c r="AB8" s="23" t="n">
        <f aca="false">QUARTILE($M:$M, 3)</f>
        <v>1964</v>
      </c>
      <c r="AC8" s="23" t="n">
        <f aca="false">QUARTILE($N:$N, 3)</f>
        <v>9</v>
      </c>
      <c r="AD8" s="23" t="n">
        <f aca="false">QUARTILE($O:$O, 3)</f>
        <v>21</v>
      </c>
      <c r="AE8" s="23" t="n">
        <f aca="false">QUARTILE($P:$P, 3)</f>
        <v>125.08</v>
      </c>
      <c r="AF8" s="23" t="n">
        <f aca="false">QUARTILE($Q:$Q, 3)</f>
        <v>21427700000000</v>
      </c>
      <c r="AG8" s="23" t="n">
        <f aca="false">QUARTILE($R:$R, 3)</f>
        <v>80.9</v>
      </c>
      <c r="AH8" s="23" t="n">
        <f aca="false">QUARTILE($S:$S, 3)</f>
        <v>12.8</v>
      </c>
      <c r="AI8" s="23" t="n">
        <f aca="false">QUARTILE($T:$T, 3)</f>
        <v>49.7</v>
      </c>
      <c r="AJ8" s="23" t="n">
        <f aca="false">QUARTILE($U:$U, 3)</f>
        <v>328239523</v>
      </c>
      <c r="AK8" s="23" t="n">
        <f aca="false">QUARTILE($V:$V, 3)</f>
        <v>80.6146243739566</v>
      </c>
    </row>
    <row r="9" customFormat="false" ht="15" hidden="false" customHeight="false" outlineLevel="0" collapsed="false">
      <c r="A9" s="23" t="n">
        <v>7</v>
      </c>
      <c r="B9" s="23" t="s">
        <v>75</v>
      </c>
      <c r="C9" s="23" t="s">
        <v>76</v>
      </c>
      <c r="D9" s="23" t="s">
        <v>42</v>
      </c>
      <c r="E9" s="23" t="s">
        <v>77</v>
      </c>
      <c r="F9" s="23" t="s">
        <v>78</v>
      </c>
      <c r="G9" s="23" t="s">
        <v>75</v>
      </c>
      <c r="H9" s="32" t="s">
        <v>45</v>
      </c>
      <c r="I9" s="23" t="s">
        <v>37</v>
      </c>
      <c r="J9" s="23" t="s">
        <v>79</v>
      </c>
      <c r="K9" s="23" t="s">
        <v>80</v>
      </c>
      <c r="L9" s="23" t="n">
        <v>94500</v>
      </c>
      <c r="M9" s="23" t="n">
        <v>1942</v>
      </c>
      <c r="N9" s="23" t="n">
        <v>2</v>
      </c>
      <c r="O9" s="23" t="n">
        <v>14</v>
      </c>
      <c r="P9" s="23" t="n">
        <v>117.24</v>
      </c>
      <c r="Q9" s="24" t="n">
        <v>21427700000000</v>
      </c>
      <c r="R9" s="23" t="n">
        <v>78.5</v>
      </c>
      <c r="S9" s="23" t="n">
        <v>9.6</v>
      </c>
      <c r="T9" s="23" t="n">
        <v>36.6</v>
      </c>
      <c r="U9" s="23" t="n">
        <v>328239523</v>
      </c>
      <c r="V9" s="33" t="n">
        <f aca="false">YEARFRAC(W9,X9,1)</f>
        <v>83.9322295947948</v>
      </c>
      <c r="W9" s="34" t="n">
        <f aca="false">DATE(M9,N9,O9)</f>
        <v>15386</v>
      </c>
      <c r="X9" s="34" t="n">
        <f aca="true">TODAY()</f>
        <v>46042</v>
      </c>
      <c r="Z9" s="35" t="s">
        <v>81</v>
      </c>
      <c r="AA9" s="23" t="n">
        <f aca="false">VAR($L:$L)</f>
        <v>410419649.168399</v>
      </c>
      <c r="AB9" s="23" t="n">
        <f aca="false">VAR($M:$M)</f>
        <v>177.584277546778</v>
      </c>
      <c r="AC9" s="23" t="n">
        <f aca="false">VAR($N:$N)</f>
        <v>12.5906358281358</v>
      </c>
      <c r="AD9" s="23" t="n">
        <f aca="false">VAR($O:$O)</f>
        <v>95.5213530838534</v>
      </c>
      <c r="AE9" s="23" t="n">
        <f aca="false">VAR($P:$P)</f>
        <v>625.349779059251</v>
      </c>
      <c r="AF9" s="23" t="n">
        <f aca="false">VAR($Q:$Q)</f>
        <v>9.25894266061194E+025</v>
      </c>
      <c r="AG9" s="23" t="n">
        <f aca="false">VAR($R:$R)</f>
        <v>14.7998399168399</v>
      </c>
      <c r="AH9" s="23" t="n">
        <f aca="false">VAR($S:$S)</f>
        <v>37.8473361053361</v>
      </c>
      <c r="AI9" s="23" t="n">
        <f aca="false">VAR($T:$T)</f>
        <v>128.502102044351</v>
      </c>
      <c r="AJ9" s="23" t="n">
        <f aca="false">VAR($U:$U)</f>
        <v>2.42922008617916E+017</v>
      </c>
      <c r="AK9" s="23" t="n">
        <f aca="false">VAR($V:$V)</f>
        <v>177.558137298163</v>
      </c>
    </row>
    <row r="10" customFormat="false" ht="15" hidden="false" customHeight="false" outlineLevel="0" collapsed="false">
      <c r="A10" s="23" t="n">
        <v>8</v>
      </c>
      <c r="B10" s="23" t="s">
        <v>82</v>
      </c>
      <c r="C10" s="23" t="s">
        <v>83</v>
      </c>
      <c r="D10" s="23" t="s">
        <v>84</v>
      </c>
      <c r="E10" s="23" t="s">
        <v>85</v>
      </c>
      <c r="F10" s="23" t="s">
        <v>82</v>
      </c>
      <c r="G10" s="23" t="s">
        <v>82</v>
      </c>
      <c r="H10" s="32" t="s">
        <v>45</v>
      </c>
      <c r="I10" s="23" t="s">
        <v>37</v>
      </c>
      <c r="J10" s="23" t="s">
        <v>86</v>
      </c>
      <c r="K10" s="23" t="s">
        <v>87</v>
      </c>
      <c r="L10" s="23" t="n">
        <v>93000</v>
      </c>
      <c r="M10" s="23" t="n">
        <v>1940</v>
      </c>
      <c r="N10" s="23" t="n">
        <v>1</v>
      </c>
      <c r="O10" s="23" t="n">
        <v>28</v>
      </c>
      <c r="P10" s="23" t="n">
        <v>141.54</v>
      </c>
      <c r="Q10" s="24" t="n">
        <v>1258286717125</v>
      </c>
      <c r="R10" s="23" t="n">
        <v>75</v>
      </c>
      <c r="S10" s="23" t="n">
        <v>13.1</v>
      </c>
      <c r="T10" s="23" t="n">
        <v>55.1</v>
      </c>
      <c r="U10" s="23" t="n">
        <v>126014024</v>
      </c>
      <c r="V10" s="33" t="n">
        <f aca="false">YEARFRAC(W10,X10,1)</f>
        <v>85.9787896906568</v>
      </c>
      <c r="W10" s="34" t="n">
        <f aca="false">DATE(M10,N10,O10)</f>
        <v>14638</v>
      </c>
      <c r="X10" s="34" t="n">
        <f aca="true">TODAY()</f>
        <v>46042</v>
      </c>
      <c r="Z10" s="35" t="s">
        <v>88</v>
      </c>
      <c r="AA10" s="23" t="n">
        <f aca="false">STDEV($L:$L)</f>
        <v>20258.816578675</v>
      </c>
      <c r="AB10" s="23" t="n">
        <f aca="false">STDEV($M:$M)</f>
        <v>13.3260750990972</v>
      </c>
      <c r="AC10" s="23" t="n">
        <f aca="false">STDEV($N:$N)</f>
        <v>3.54832859641491</v>
      </c>
      <c r="AD10" s="23" t="n">
        <f aca="false">STDEV($O:$O)</f>
        <v>9.77350260059582</v>
      </c>
      <c r="AE10" s="23" t="n">
        <f aca="false">STDEV($P:$P)</f>
        <v>25.0069946026957</v>
      </c>
      <c r="AF10" s="23" t="n">
        <f aca="false">STDEV($Q:$Q)</f>
        <v>9622339975604.65</v>
      </c>
      <c r="AG10" s="23" t="n">
        <f aca="false">STDEV($R:$R)</f>
        <v>3.84705600645999</v>
      </c>
      <c r="AH10" s="23" t="n">
        <f aca="false">STDEV($S:$S)</f>
        <v>6.1520188641889</v>
      </c>
      <c r="AI10" s="23" t="n">
        <f aca="false">STDEV($T:$T)</f>
        <v>11.3358767655771</v>
      </c>
      <c r="AJ10" s="23" t="n">
        <f aca="false">STDEV($U:$U)</f>
        <v>492871188.666893</v>
      </c>
      <c r="AK10" s="23" t="n">
        <f aca="false">STDEV($V:$V)</f>
        <v>13.3250942697665</v>
      </c>
    </row>
    <row r="11" customFormat="false" ht="15" hidden="false" customHeight="false" outlineLevel="0" collapsed="false">
      <c r="A11" s="23" t="n">
        <v>9</v>
      </c>
      <c r="B11" s="23" t="s">
        <v>89</v>
      </c>
      <c r="C11" s="23" t="s">
        <v>90</v>
      </c>
      <c r="D11" s="23" t="s">
        <v>91</v>
      </c>
      <c r="E11" s="23" t="s">
        <v>92</v>
      </c>
      <c r="F11" s="23" t="s">
        <v>89</v>
      </c>
      <c r="G11" s="23" t="s">
        <v>89</v>
      </c>
      <c r="H11" s="32" t="s">
        <v>36</v>
      </c>
      <c r="I11" s="23" t="s">
        <v>37</v>
      </c>
      <c r="J11" s="23" t="s">
        <v>93</v>
      </c>
      <c r="K11" s="23" t="s">
        <v>94</v>
      </c>
      <c r="L11" s="23" t="n">
        <v>83400</v>
      </c>
      <c r="M11" s="23" t="n">
        <v>1957</v>
      </c>
      <c r="N11" s="23" t="n">
        <v>4</v>
      </c>
      <c r="O11" s="23" t="n">
        <v>19</v>
      </c>
      <c r="P11" s="23" t="n">
        <v>180.44</v>
      </c>
      <c r="Q11" s="24" t="n">
        <v>2611000000000</v>
      </c>
      <c r="R11" s="23" t="n">
        <v>69.4</v>
      </c>
      <c r="S11" s="23" t="n">
        <v>11.2</v>
      </c>
      <c r="T11" s="23" t="n">
        <v>49.7</v>
      </c>
      <c r="U11" s="23" t="n">
        <v>1366417754</v>
      </c>
      <c r="V11" s="33" t="n">
        <f aca="false">YEARFRAC(W11,X11,1)</f>
        <v>68.7569914342707</v>
      </c>
      <c r="W11" s="34" t="n">
        <f aca="false">DATE(M11,N11,O11)</f>
        <v>20929</v>
      </c>
      <c r="X11" s="34" t="n">
        <f aca="true">TODAY()</f>
        <v>46042</v>
      </c>
      <c r="Z11" s="35" t="s">
        <v>95</v>
      </c>
      <c r="AA11" s="23" t="n">
        <f aca="false">KURT($L:$L)</f>
        <v>32.08567710414</v>
      </c>
      <c r="AB11" s="23" t="n">
        <f aca="false">KURT($M:$M)</f>
        <v>-0.385917454043634</v>
      </c>
      <c r="AC11" s="23" t="n">
        <f aca="false">KURT($N:$N)</f>
        <v>-1.2947356029593</v>
      </c>
      <c r="AD11" s="23" t="n">
        <f aca="false">KURT($O:$O)</f>
        <v>-1.2951905849278</v>
      </c>
      <c r="AE11" s="23" t="n">
        <f aca="false">KURT($P:$P)</f>
        <v>14.4255222561577</v>
      </c>
      <c r="AF11" s="23" t="n">
        <f aca="false">KURT($Q:$Q)</f>
        <v>-1.91848179096418</v>
      </c>
      <c r="AG11" s="23" t="n">
        <f aca="false">KURT($R:$R)</f>
        <v>9.51147289575197</v>
      </c>
      <c r="AH11" s="23" t="n">
        <f aca="false">KURT($S:$S)</f>
        <v>1.29570740411729</v>
      </c>
      <c r="AI11" s="23" t="n">
        <f aca="false">KURT($T:$T)</f>
        <v>-0.794883339247966</v>
      </c>
      <c r="AJ11" s="23" t="n">
        <f aca="false">KURT($U:$U)</f>
        <v>0.0172472305363738</v>
      </c>
      <c r="AK11" s="23" t="n">
        <f aca="false">KURT($V:$V)</f>
        <v>-0.382073483867356</v>
      </c>
    </row>
    <row r="12" customFormat="false" ht="15" hidden="false" customHeight="false" outlineLevel="0" collapsed="false">
      <c r="A12" s="23" t="n">
        <v>10</v>
      </c>
      <c r="B12" s="23" t="s">
        <v>49</v>
      </c>
      <c r="C12" s="23" t="s">
        <v>96</v>
      </c>
      <c r="D12" s="23" t="s">
        <v>42</v>
      </c>
      <c r="E12" s="23" t="s">
        <v>97</v>
      </c>
      <c r="F12" s="23" t="s">
        <v>70</v>
      </c>
      <c r="G12" s="23" t="s">
        <v>49</v>
      </c>
      <c r="H12" s="32" t="s">
        <v>45</v>
      </c>
      <c r="I12" s="23" t="s">
        <v>37</v>
      </c>
      <c r="J12" s="23" t="s">
        <v>98</v>
      </c>
      <c r="K12" s="23" t="s">
        <v>99</v>
      </c>
      <c r="L12" s="23" t="n">
        <v>80700</v>
      </c>
      <c r="M12" s="23" t="n">
        <v>1956</v>
      </c>
      <c r="N12" s="23" t="n">
        <v>3</v>
      </c>
      <c r="O12" s="23" t="n">
        <v>24</v>
      </c>
      <c r="P12" s="23" t="n">
        <v>117.24</v>
      </c>
      <c r="Q12" s="24" t="n">
        <v>21427700000000</v>
      </c>
      <c r="R12" s="23" t="n">
        <v>78.5</v>
      </c>
      <c r="S12" s="23" t="n">
        <v>9.6</v>
      </c>
      <c r="T12" s="23" t="n">
        <v>36.6</v>
      </c>
      <c r="U12" s="23" t="n">
        <v>328239523</v>
      </c>
      <c r="V12" s="33" t="n">
        <f aca="false">YEARFRAC(W12,X12,1)</f>
        <v>69.8254733351328</v>
      </c>
      <c r="W12" s="34" t="n">
        <f aca="false">DATE(M12,N12,O12)</f>
        <v>20538</v>
      </c>
      <c r="X12" s="34" t="n">
        <f aca="true">TODAY()</f>
        <v>46042</v>
      </c>
      <c r="Z12" s="35" t="s">
        <v>100</v>
      </c>
      <c r="AA12" s="23" t="n">
        <f aca="false">SKEW($L:$L)</f>
        <v>4.88711088847655</v>
      </c>
      <c r="AB12" s="23" t="n">
        <f aca="false">SKEW($M:$M)</f>
        <v>0.137271209493486</v>
      </c>
      <c r="AC12" s="23" t="n">
        <f aca="false">SKEW($N:$N)</f>
        <v>0.0440514481892645</v>
      </c>
      <c r="AD12" s="23" t="n">
        <f aca="false">SKEW($O:$O)</f>
        <v>0.229666319090018</v>
      </c>
      <c r="AE12" s="23" t="n">
        <f aca="false">SKEW($P:$P)</f>
        <v>3.4326543821965</v>
      </c>
      <c r="AF12" s="23" t="n">
        <f aca="false">SKEW($Q:$Q)</f>
        <v>-0.227151622652106</v>
      </c>
      <c r="AG12" s="23" t="n">
        <f aca="false">SKEW($R:$R)</f>
        <v>-2.16120196871415</v>
      </c>
      <c r="AH12" s="23" t="n">
        <f aca="false">SKEW($S:$S)</f>
        <v>1.45941568080108</v>
      </c>
      <c r="AI12" s="23" t="n">
        <f aca="false">SKEW($T:$T)</f>
        <v>0.26083671946196</v>
      </c>
      <c r="AJ12" s="23" t="n">
        <f aca="false">SKEW($U:$U)</f>
        <v>1.28759932095256</v>
      </c>
      <c r="AK12" s="23" t="n">
        <f aca="false">SKEW($V:$V)</f>
        <v>-0.135736103643738</v>
      </c>
    </row>
    <row r="13" customFormat="false" ht="15" hidden="false" customHeight="false" outlineLevel="0" collapsed="false">
      <c r="A13" s="23" t="n">
        <v>11</v>
      </c>
      <c r="B13" s="23" t="s">
        <v>31</v>
      </c>
      <c r="C13" s="23" t="s">
        <v>101</v>
      </c>
      <c r="D13" s="23" t="s">
        <v>33</v>
      </c>
      <c r="E13" s="23" t="s">
        <v>34</v>
      </c>
      <c r="F13" s="23" t="s">
        <v>102</v>
      </c>
      <c r="G13" s="23" t="s">
        <v>31</v>
      </c>
      <c r="H13" s="32" t="s">
        <v>36</v>
      </c>
      <c r="I13" s="23" t="s">
        <v>103</v>
      </c>
      <c r="J13" s="23" t="s">
        <v>104</v>
      </c>
      <c r="K13" s="23" t="s">
        <v>105</v>
      </c>
      <c r="L13" s="23" t="n">
        <v>80500</v>
      </c>
      <c r="M13" s="23" t="n">
        <v>1953</v>
      </c>
      <c r="N13" s="23" t="n">
        <v>7</v>
      </c>
      <c r="O13" s="23" t="n">
        <v>10</v>
      </c>
      <c r="P13" s="23" t="n">
        <v>110.05</v>
      </c>
      <c r="Q13" s="24" t="n">
        <v>2715518274227</v>
      </c>
      <c r="R13" s="23" t="n">
        <v>82.5</v>
      </c>
      <c r="S13" s="23" t="n">
        <v>24.2</v>
      </c>
      <c r="T13" s="23" t="n">
        <v>60.7</v>
      </c>
      <c r="U13" s="23" t="n">
        <v>67059887</v>
      </c>
      <c r="V13" s="33" t="n">
        <f aca="false">YEARFRAC(W13,X13,1)</f>
        <v>72.5324848305461</v>
      </c>
      <c r="W13" s="34" t="n">
        <f aca="false">DATE(M13,N13,O13)</f>
        <v>19550</v>
      </c>
      <c r="X13" s="34" t="n">
        <f aca="true">TODAY()</f>
        <v>46042</v>
      </c>
      <c r="Z13" s="35" t="s">
        <v>106</v>
      </c>
      <c r="AA13" s="23" t="n">
        <f aca="false">MAX($L:$L)-MIN($L:$L)</f>
        <v>205700</v>
      </c>
      <c r="AB13" s="23" t="n">
        <f aca="false">MAX($M:$M)-MIN($M:$M)</f>
        <v>66</v>
      </c>
      <c r="AC13" s="23" t="n">
        <f aca="false">MAX($N:$N)-MIN($N:$N)</f>
        <v>11</v>
      </c>
      <c r="AD13" s="23" t="n">
        <f aca="false">MAX($O:$O)-MIN($O:$O)</f>
        <v>30</v>
      </c>
      <c r="AE13" s="23" t="n">
        <f aca="false">MAX($P:$P)-MIN($P:$P)</f>
        <v>189.02</v>
      </c>
      <c r="AF13" s="23" t="n">
        <f aca="false">MAX($Q:$Q)-MIN($Q:$Q)</f>
        <v>21273918930882</v>
      </c>
      <c r="AG13" s="23" t="n">
        <f aca="false">MAX($R:$R)-MIN($R:$R)</f>
        <v>29.9</v>
      </c>
      <c r="AH13" s="23" t="n">
        <f aca="false">MAX($S:$S)-MIN($S:$S)</f>
        <v>32.3</v>
      </c>
      <c r="AI13" s="23" t="n">
        <f aca="false">MAX($T:$T)-MIN($T:$T)</f>
        <v>55.3</v>
      </c>
      <c r="AJ13" s="23" t="n">
        <f aca="false">MAX($U:$U)-MIN($U:$U)</f>
        <v>1392874000</v>
      </c>
      <c r="AK13" s="23" t="n">
        <f aca="false">MAX($V:$V)-MIN($V:$V)</f>
        <v>65.8110529146456</v>
      </c>
    </row>
    <row r="14" customFormat="false" ht="15" hidden="false" customHeight="false" outlineLevel="0" collapsed="false">
      <c r="A14" s="23" t="n">
        <v>12</v>
      </c>
      <c r="B14" s="23" t="s">
        <v>49</v>
      </c>
      <c r="C14" s="23" t="s">
        <v>107</v>
      </c>
      <c r="D14" s="23" t="s">
        <v>42</v>
      </c>
      <c r="E14" s="23" t="s">
        <v>108</v>
      </c>
      <c r="F14" s="23" t="s">
        <v>109</v>
      </c>
      <c r="G14" s="23" t="s">
        <v>49</v>
      </c>
      <c r="H14" s="32" t="s">
        <v>45</v>
      </c>
      <c r="I14" s="23" t="s">
        <v>37</v>
      </c>
      <c r="J14" s="23" t="s">
        <v>110</v>
      </c>
      <c r="K14" s="23" t="s">
        <v>60</v>
      </c>
      <c r="L14" s="23" t="n">
        <v>79200</v>
      </c>
      <c r="M14" s="23" t="n">
        <v>1973</v>
      </c>
      <c r="N14" s="23" t="n">
        <v>3</v>
      </c>
      <c r="O14" s="23" t="n">
        <v>26</v>
      </c>
      <c r="P14" s="23" t="n">
        <v>117.24</v>
      </c>
      <c r="Q14" s="24" t="n">
        <v>21427700000000</v>
      </c>
      <c r="R14" s="23" t="n">
        <v>78.5</v>
      </c>
      <c r="S14" s="23" t="n">
        <v>9.6</v>
      </c>
      <c r="T14" s="23" t="n">
        <v>36.6</v>
      </c>
      <c r="U14" s="23" t="n">
        <v>328239523</v>
      </c>
      <c r="V14" s="33" t="n">
        <f aca="false">YEARFRAC(W14,X14,1)</f>
        <v>52.8226943162805</v>
      </c>
      <c r="W14" s="34" t="n">
        <f aca="false">DATE(M14,N14,O14)</f>
        <v>26749</v>
      </c>
      <c r="X14" s="34" t="n">
        <f aca="true">TODAY()</f>
        <v>46042</v>
      </c>
      <c r="Z14" s="35" t="s">
        <v>111</v>
      </c>
      <c r="AA14" s="23" t="n">
        <f aca="false">MIN($L:$L)</f>
        <v>5300</v>
      </c>
      <c r="AB14" s="23" t="n">
        <f aca="false">MIN($M:$M)</f>
        <v>1926</v>
      </c>
      <c r="AC14" s="23" t="n">
        <f aca="false">MIN($N:$N)</f>
        <v>1</v>
      </c>
      <c r="AD14" s="23" t="n">
        <f aca="false">MIN($O:$O)</f>
        <v>1</v>
      </c>
      <c r="AE14" s="23" t="n">
        <f aca="false">MIN($P:$P)</f>
        <v>99.55</v>
      </c>
      <c r="AF14" s="23" t="n">
        <f aca="false">MIN($Q:$Q)</f>
        <v>153781069118</v>
      </c>
      <c r="AG14" s="23" t="n">
        <f aca="false">MIN($R:$R)</f>
        <v>54.3</v>
      </c>
      <c r="AH14" s="23" t="n">
        <f aca="false">MIN($S:$S)</f>
        <v>0.1</v>
      </c>
      <c r="AI14" s="23" t="n">
        <f aca="false">MIN($T:$T)</f>
        <v>15.9</v>
      </c>
      <c r="AJ14" s="23" t="n">
        <f aca="false">MIN($U:$U)</f>
        <v>4841000</v>
      </c>
      <c r="AK14" s="23" t="n">
        <f aca="false">MIN($V:$V)</f>
        <v>33.705021902378</v>
      </c>
    </row>
    <row r="15" customFormat="false" ht="15" hidden="false" customHeight="false" outlineLevel="0" collapsed="false">
      <c r="A15" s="23" t="n">
        <v>13</v>
      </c>
      <c r="B15" s="23" t="s">
        <v>31</v>
      </c>
      <c r="C15" s="23" t="s">
        <v>112</v>
      </c>
      <c r="D15" s="23" t="s">
        <v>113</v>
      </c>
      <c r="E15" s="23" t="s">
        <v>114</v>
      </c>
      <c r="F15" s="23" t="s">
        <v>115</v>
      </c>
      <c r="G15" s="23" t="s">
        <v>31</v>
      </c>
      <c r="H15" s="32" t="s">
        <v>45</v>
      </c>
      <c r="I15" s="23" t="s">
        <v>37</v>
      </c>
      <c r="J15" s="23" t="s">
        <v>116</v>
      </c>
      <c r="K15" s="23" t="s">
        <v>117</v>
      </c>
      <c r="L15" s="23" t="n">
        <v>77300</v>
      </c>
      <c r="M15" s="23" t="n">
        <v>1936</v>
      </c>
      <c r="N15" s="23" t="n">
        <v>3</v>
      </c>
      <c r="O15" s="23" t="n">
        <v>28</v>
      </c>
      <c r="P15" s="23" t="n">
        <v>110.96</v>
      </c>
      <c r="Q15" s="24" t="n">
        <v>1394116310769</v>
      </c>
      <c r="R15" s="23" t="n">
        <v>83.3</v>
      </c>
      <c r="S15" s="23" t="n">
        <v>14.2</v>
      </c>
      <c r="T15" s="23" t="n">
        <v>47</v>
      </c>
      <c r="U15" s="23" t="n">
        <v>47076781</v>
      </c>
      <c r="V15" s="33" t="n">
        <f aca="false">YEARFRAC(W15,X15,1)</f>
        <v>89.8145195258439</v>
      </c>
      <c r="W15" s="34" t="n">
        <f aca="false">DATE(M15,N15,O15)</f>
        <v>13237</v>
      </c>
      <c r="X15" s="34" t="n">
        <f aca="true">TODAY()</f>
        <v>46042</v>
      </c>
      <c r="Z15" s="35" t="s">
        <v>118</v>
      </c>
      <c r="AA15" s="23" t="n">
        <f aca="false">MAX($L:$L)</f>
        <v>211000</v>
      </c>
      <c r="AB15" s="23" t="n">
        <f aca="false">MAX($M:$M)</f>
        <v>1992</v>
      </c>
      <c r="AC15" s="23" t="n">
        <f aca="false">MAX($N:$N)</f>
        <v>12</v>
      </c>
      <c r="AD15" s="23" t="n">
        <f aca="false">MAX($O:$O)</f>
        <v>31</v>
      </c>
      <c r="AE15" s="23" t="n">
        <f aca="false">MAX($P:$P)</f>
        <v>288.57</v>
      </c>
      <c r="AF15" s="23" t="n">
        <f aca="false">MAX($Q:$Q)</f>
        <v>21427700000000</v>
      </c>
      <c r="AG15" s="23" t="n">
        <f aca="false">MAX($R:$R)</f>
        <v>84.2</v>
      </c>
      <c r="AH15" s="23" t="n">
        <f aca="false">MAX($S:$S)</f>
        <v>32.4</v>
      </c>
      <c r="AI15" s="23" t="n">
        <f aca="false">MAX($T:$T)</f>
        <v>71.2</v>
      </c>
      <c r="AJ15" s="23" t="n">
        <f aca="false">MAX($U:$U)</f>
        <v>1397715000</v>
      </c>
      <c r="AK15" s="23" t="n">
        <f aca="false">MAX($V:$V)</f>
        <v>99.5160748170236</v>
      </c>
    </row>
    <row r="16" customFormat="false" ht="15" hidden="false" customHeight="false" outlineLevel="0" collapsed="false">
      <c r="A16" s="23" t="n">
        <v>14</v>
      </c>
      <c r="B16" s="23" t="s">
        <v>49</v>
      </c>
      <c r="C16" s="23" t="s">
        <v>119</v>
      </c>
      <c r="D16" s="23" t="s">
        <v>42</v>
      </c>
      <c r="E16" s="23" t="s">
        <v>120</v>
      </c>
      <c r="F16" s="23" t="s">
        <v>109</v>
      </c>
      <c r="G16" s="23" t="s">
        <v>49</v>
      </c>
      <c r="H16" s="32" t="s">
        <v>45</v>
      </c>
      <c r="I16" s="23" t="s">
        <v>37</v>
      </c>
      <c r="J16" s="23" t="s">
        <v>121</v>
      </c>
      <c r="K16" s="23" t="s">
        <v>122</v>
      </c>
      <c r="L16" s="23" t="n">
        <v>76000</v>
      </c>
      <c r="M16" s="23" t="n">
        <v>1973</v>
      </c>
      <c r="N16" s="23" t="n">
        <v>8</v>
      </c>
      <c r="O16" s="23" t="n">
        <v>21</v>
      </c>
      <c r="P16" s="23" t="n">
        <v>117.24</v>
      </c>
      <c r="Q16" s="24" t="n">
        <v>21427700000000</v>
      </c>
      <c r="R16" s="23" t="n">
        <v>78.5</v>
      </c>
      <c r="S16" s="23" t="n">
        <v>9.6</v>
      </c>
      <c r="T16" s="23" t="n">
        <v>36.6</v>
      </c>
      <c r="U16" s="23" t="n">
        <v>328239523</v>
      </c>
      <c r="V16" s="33" t="n">
        <f aca="false">YEARFRAC(W16,X16,1)</f>
        <v>52.4174821274654</v>
      </c>
      <c r="W16" s="34" t="n">
        <f aca="false">DATE(M16,N16,O16)</f>
        <v>26897</v>
      </c>
      <c r="X16" s="34" t="n">
        <f aca="true">TODAY()</f>
        <v>46042</v>
      </c>
      <c r="Z16" s="35" t="s">
        <v>123</v>
      </c>
      <c r="AA16" s="23" t="n">
        <f aca="false">SUM($L:$L)</f>
        <v>7220300</v>
      </c>
      <c r="AB16" s="23" t="n">
        <f aca="false">SUM($M:$M)</f>
        <v>940468</v>
      </c>
      <c r="AC16" s="23" t="n">
        <f aca="false">SUM($N:$N)</f>
        <v>2845</v>
      </c>
      <c r="AD16" s="23" t="n">
        <f aca="false">SUM($O:$O)</f>
        <v>6272</v>
      </c>
      <c r="AE16" s="23" t="n">
        <f aca="false">SUM($P:$P)</f>
        <v>60038.69</v>
      </c>
      <c r="AF16" s="23" t="n">
        <f aca="false">SUM($Q:$Q)</f>
        <v>5965137927968451</v>
      </c>
      <c r="AG16" s="23" t="n">
        <f aca="false">SUM($R:$R)</f>
        <v>37690.7</v>
      </c>
      <c r="AH16" s="23" t="n">
        <f aca="false">SUM($S:$S)</f>
        <v>6128.3</v>
      </c>
      <c r="AI16" s="23" t="n">
        <f aca="false">SUM($T:$T)</f>
        <v>20271.6</v>
      </c>
      <c r="AJ16" s="23" t="n">
        <f aca="false">SUM($U:$U)</f>
        <v>207169225040</v>
      </c>
      <c r="AK16" s="23" t="n">
        <f aca="false">SUM($V:$V)</f>
        <v>33851.3611383262</v>
      </c>
    </row>
    <row r="17" customFormat="false" ht="15" hidden="false" customHeight="false" outlineLevel="0" collapsed="false">
      <c r="A17" s="23" t="n">
        <v>15</v>
      </c>
      <c r="B17" s="23" t="s">
        <v>124</v>
      </c>
      <c r="C17" s="23" t="s">
        <v>125</v>
      </c>
      <c r="D17" s="23" t="s">
        <v>126</v>
      </c>
      <c r="E17" s="23" t="s">
        <v>127</v>
      </c>
      <c r="F17" s="23" t="s">
        <v>128</v>
      </c>
      <c r="G17" s="23" t="s">
        <v>124</v>
      </c>
      <c r="H17" s="32" t="s">
        <v>45</v>
      </c>
      <c r="I17" s="23" t="s">
        <v>37</v>
      </c>
      <c r="J17" s="23" t="s">
        <v>129</v>
      </c>
      <c r="K17" s="23" t="s">
        <v>130</v>
      </c>
      <c r="L17" s="23" t="n">
        <v>68000</v>
      </c>
      <c r="M17" s="23" t="n">
        <v>1954</v>
      </c>
      <c r="N17" s="23" t="n">
        <v>12</v>
      </c>
      <c r="O17" s="23" t="n">
        <v>1</v>
      </c>
      <c r="P17" s="23" t="n">
        <v>125.08</v>
      </c>
      <c r="Q17" s="24" t="n">
        <v>19910000000000</v>
      </c>
      <c r="R17" s="23" t="n">
        <v>77</v>
      </c>
      <c r="S17" s="23" t="n">
        <v>9.4</v>
      </c>
      <c r="T17" s="23" t="n">
        <v>59.2</v>
      </c>
      <c r="U17" s="23" t="n">
        <v>1397715000</v>
      </c>
      <c r="V17" s="33" t="n">
        <f aca="false">YEARFRAC(W17,X17,1)</f>
        <v>71.1382440085512</v>
      </c>
      <c r="W17" s="34" t="n">
        <f aca="false">DATE(M17,N17,O17)</f>
        <v>20059</v>
      </c>
      <c r="X17" s="34" t="n">
        <f aca="true">TODAY()</f>
        <v>46042</v>
      </c>
      <c r="Z17" s="35" t="s">
        <v>131</v>
      </c>
      <c r="AA17" s="23" t="n">
        <f aca="false">COUNT($L:$L)</f>
        <v>481</v>
      </c>
      <c r="AB17" s="23" t="n">
        <f aca="false">COUNT($M:$M)</f>
        <v>481</v>
      </c>
      <c r="AC17" s="23" t="n">
        <f aca="false">COUNT($N:$N)</f>
        <v>481</v>
      </c>
      <c r="AD17" s="23" t="n">
        <f aca="false">COUNT($O:$O)</f>
        <v>481</v>
      </c>
      <c r="AE17" s="23" t="n">
        <f aca="false">COUNT($P:$P)</f>
        <v>481</v>
      </c>
      <c r="AF17" s="23" t="n">
        <f aca="false">COUNT($Q:$Q)</f>
        <v>481</v>
      </c>
      <c r="AG17" s="23" t="n">
        <f aca="false">COUNT($R:$R)</f>
        <v>481</v>
      </c>
      <c r="AH17" s="23" t="n">
        <f aca="false">COUNT($S:$S)</f>
        <v>481</v>
      </c>
      <c r="AI17" s="23" t="n">
        <f aca="false">COUNT($T:$T)</f>
        <v>481</v>
      </c>
      <c r="AJ17" s="23" t="n">
        <f aca="false">COUNT($U:$U)</f>
        <v>481</v>
      </c>
      <c r="AK17" s="23" t="n">
        <f aca="false">COUNT($V:$V)</f>
        <v>481</v>
      </c>
    </row>
    <row r="18" customFormat="false" ht="15" hidden="false" customHeight="false" outlineLevel="0" collapsed="false">
      <c r="A18" s="23" t="n">
        <v>16</v>
      </c>
      <c r="B18" s="23" t="s">
        <v>49</v>
      </c>
      <c r="C18" s="23" t="s">
        <v>132</v>
      </c>
      <c r="D18" s="23" t="s">
        <v>42</v>
      </c>
      <c r="E18" s="23" t="s">
        <v>108</v>
      </c>
      <c r="F18" s="23" t="s">
        <v>133</v>
      </c>
      <c r="G18" s="23" t="s">
        <v>49</v>
      </c>
      <c r="H18" s="32" t="s">
        <v>45</v>
      </c>
      <c r="I18" s="23" t="s">
        <v>37</v>
      </c>
      <c r="J18" s="23" t="s">
        <v>134</v>
      </c>
      <c r="K18" s="23" t="s">
        <v>135</v>
      </c>
      <c r="L18" s="23" t="n">
        <v>64400</v>
      </c>
      <c r="M18" s="23" t="n">
        <v>1984</v>
      </c>
      <c r="N18" s="23" t="n">
        <v>5</v>
      </c>
      <c r="O18" s="23" t="n">
        <v>14</v>
      </c>
      <c r="P18" s="23" t="n">
        <v>117.24</v>
      </c>
      <c r="Q18" s="24" t="n">
        <v>21427700000000</v>
      </c>
      <c r="R18" s="23" t="n">
        <v>78.5</v>
      </c>
      <c r="S18" s="23" t="n">
        <v>9.6</v>
      </c>
      <c r="T18" s="23" t="n">
        <v>36.6</v>
      </c>
      <c r="U18" s="23" t="n">
        <v>328239523</v>
      </c>
      <c r="V18" s="33" t="n">
        <f aca="false">YEARFRAC(W18,X18,1)</f>
        <v>41.6858525404304</v>
      </c>
      <c r="W18" s="34" t="n">
        <f aca="false">DATE(M18,N18,O18)</f>
        <v>30816</v>
      </c>
      <c r="X18" s="34" t="n">
        <f aca="true">TODAY()</f>
        <v>46042</v>
      </c>
      <c r="Z18" s="27"/>
    </row>
    <row r="19" customFormat="false" ht="15" hidden="false" customHeight="false" outlineLevel="0" collapsed="false">
      <c r="A19" s="23" t="n">
        <v>17</v>
      </c>
      <c r="B19" s="23" t="s">
        <v>89</v>
      </c>
      <c r="C19" s="23" t="s">
        <v>136</v>
      </c>
      <c r="D19" s="23" t="s">
        <v>42</v>
      </c>
      <c r="E19" s="23" t="s">
        <v>137</v>
      </c>
      <c r="F19" s="23" t="s">
        <v>138</v>
      </c>
      <c r="G19" s="23" t="s">
        <v>89</v>
      </c>
      <c r="H19" s="32" t="s">
        <v>36</v>
      </c>
      <c r="I19" s="23" t="s">
        <v>37</v>
      </c>
      <c r="J19" s="23" t="s">
        <v>139</v>
      </c>
      <c r="K19" s="23" t="s">
        <v>140</v>
      </c>
      <c r="L19" s="23" t="n">
        <v>59000</v>
      </c>
      <c r="M19" s="23" t="n">
        <v>1935</v>
      </c>
      <c r="N19" s="23" t="n">
        <v>11</v>
      </c>
      <c r="O19" s="23" t="n">
        <v>1</v>
      </c>
      <c r="P19" s="23" t="n">
        <v>117.24</v>
      </c>
      <c r="Q19" s="24" t="n">
        <v>21427700000000</v>
      </c>
      <c r="R19" s="23" t="n">
        <v>78.5</v>
      </c>
      <c r="S19" s="23" t="n">
        <v>9.6</v>
      </c>
      <c r="T19" s="23" t="n">
        <v>36.6</v>
      </c>
      <c r="U19" s="23" t="n">
        <v>328239523</v>
      </c>
      <c r="V19" s="33" t="n">
        <f aca="false">YEARFRAC(W19,X19,1)</f>
        <v>90.2203969883641</v>
      </c>
      <c r="W19" s="34" t="n">
        <f aca="false">DATE(M19,N19,O19)</f>
        <v>13089</v>
      </c>
      <c r="X19" s="34" t="n">
        <f aca="true">TODAY()</f>
        <v>46042</v>
      </c>
    </row>
    <row r="20" customFormat="false" ht="15" hidden="false" customHeight="false" outlineLevel="0" collapsed="false">
      <c r="A20" s="23" t="n">
        <v>17</v>
      </c>
      <c r="B20" s="23" t="s">
        <v>89</v>
      </c>
      <c r="C20" s="23" t="s">
        <v>141</v>
      </c>
      <c r="D20" s="23" t="s">
        <v>42</v>
      </c>
      <c r="E20" s="23" t="s">
        <v>77</v>
      </c>
      <c r="F20" s="23" t="s">
        <v>138</v>
      </c>
      <c r="G20" s="23" t="s">
        <v>89</v>
      </c>
      <c r="H20" s="32" t="s">
        <v>36</v>
      </c>
      <c r="I20" s="23" t="s">
        <v>103</v>
      </c>
      <c r="J20" s="23" t="s">
        <v>139</v>
      </c>
      <c r="K20" s="23" t="s">
        <v>142</v>
      </c>
      <c r="L20" s="23" t="n">
        <v>59000</v>
      </c>
      <c r="M20" s="23" t="n">
        <v>1962</v>
      </c>
      <c r="N20" s="23" t="n">
        <v>4</v>
      </c>
      <c r="O20" s="23" t="n">
        <v>12</v>
      </c>
      <c r="P20" s="23" t="n">
        <v>117.24</v>
      </c>
      <c r="Q20" s="24" t="n">
        <v>21427700000000</v>
      </c>
      <c r="R20" s="23" t="n">
        <v>78.5</v>
      </c>
      <c r="S20" s="23" t="n">
        <v>9.6</v>
      </c>
      <c r="T20" s="23" t="n">
        <v>36.6</v>
      </c>
      <c r="U20" s="23" t="n">
        <v>328239523</v>
      </c>
      <c r="V20" s="33" t="n">
        <f aca="false">YEARFRAC(W20,X20,1)</f>
        <v>63.7761678109599</v>
      </c>
      <c r="W20" s="34" t="n">
        <f aca="false">DATE(M20,N20,O20)</f>
        <v>22748</v>
      </c>
      <c r="X20" s="34" t="n">
        <f aca="true">TODAY()</f>
        <v>46042</v>
      </c>
    </row>
    <row r="21" customFormat="false" ht="15" hidden="false" customHeight="false" outlineLevel="0" collapsed="false">
      <c r="A21" s="23" t="n">
        <v>19</v>
      </c>
      <c r="B21" s="23" t="s">
        <v>31</v>
      </c>
      <c r="C21" s="23" t="s">
        <v>143</v>
      </c>
      <c r="D21" s="23" t="s">
        <v>42</v>
      </c>
      <c r="E21" s="23" t="s">
        <v>144</v>
      </c>
      <c r="F21" s="23" t="s">
        <v>145</v>
      </c>
      <c r="G21" s="23" t="s">
        <v>31</v>
      </c>
      <c r="H21" s="32" t="s">
        <v>36</v>
      </c>
      <c r="I21" s="23" t="s">
        <v>37</v>
      </c>
      <c r="J21" s="23" t="s">
        <v>146</v>
      </c>
      <c r="K21" s="23" t="s">
        <v>147</v>
      </c>
      <c r="L21" s="23" t="n">
        <v>58800</v>
      </c>
      <c r="M21" s="23" t="n">
        <v>1948</v>
      </c>
      <c r="N21" s="23" t="n">
        <v>6</v>
      </c>
      <c r="O21" s="23" t="n">
        <v>7</v>
      </c>
      <c r="P21" s="23" t="n">
        <v>117.24</v>
      </c>
      <c r="Q21" s="24" t="n">
        <v>21427700000000</v>
      </c>
      <c r="R21" s="23" t="n">
        <v>78.5</v>
      </c>
      <c r="S21" s="23" t="n">
        <v>9.6</v>
      </c>
      <c r="T21" s="23" t="n">
        <v>36.6</v>
      </c>
      <c r="U21" s="23" t="n">
        <v>328239523</v>
      </c>
      <c r="V21" s="33" t="n">
        <f aca="false">YEARFRAC(W21,X21,1)</f>
        <v>77.6201351585514</v>
      </c>
      <c r="W21" s="34" t="n">
        <f aca="false">DATE(M21,N21,O21)</f>
        <v>17691</v>
      </c>
      <c r="X21" s="34" t="n">
        <f aca="true">TODAY()</f>
        <v>46042</v>
      </c>
    </row>
    <row r="22" customFormat="false" ht="15" hidden="false" customHeight="false" outlineLevel="0" collapsed="false">
      <c r="A22" s="23" t="n">
        <v>20</v>
      </c>
      <c r="B22" s="23" t="s">
        <v>31</v>
      </c>
      <c r="C22" s="23" t="s">
        <v>148</v>
      </c>
      <c r="D22" s="23" t="s">
        <v>42</v>
      </c>
      <c r="E22" s="23" t="s">
        <v>144</v>
      </c>
      <c r="F22" s="23" t="s">
        <v>145</v>
      </c>
      <c r="G22" s="23" t="s">
        <v>31</v>
      </c>
      <c r="H22" s="32" t="s">
        <v>36</v>
      </c>
      <c r="I22" s="23" t="s">
        <v>37</v>
      </c>
      <c r="J22" s="23" t="s">
        <v>146</v>
      </c>
      <c r="K22" s="23" t="s">
        <v>149</v>
      </c>
      <c r="L22" s="23" t="n">
        <v>57600</v>
      </c>
      <c r="M22" s="23" t="n">
        <v>1944</v>
      </c>
      <c r="N22" s="23" t="n">
        <v>10</v>
      </c>
      <c r="O22" s="23" t="n">
        <v>27</v>
      </c>
      <c r="P22" s="23" t="n">
        <v>117.24</v>
      </c>
      <c r="Q22" s="24" t="n">
        <v>21427700000000</v>
      </c>
      <c r="R22" s="23" t="n">
        <v>78.5</v>
      </c>
      <c r="S22" s="23" t="n">
        <v>9.6</v>
      </c>
      <c r="T22" s="23" t="n">
        <v>36.6</v>
      </c>
      <c r="U22" s="23" t="n">
        <v>328239523</v>
      </c>
      <c r="V22" s="33" t="n">
        <f aca="false">YEARFRAC(W22,X22,1)</f>
        <v>81.231362976646</v>
      </c>
      <c r="W22" s="34" t="n">
        <f aca="false">DATE(M22,N22,O22)</f>
        <v>16372</v>
      </c>
      <c r="X22" s="34" t="n">
        <f aca="true">TODAY()</f>
        <v>46042</v>
      </c>
    </row>
    <row r="23" customFormat="false" ht="15" hidden="false" customHeight="false" outlineLevel="0" collapsed="false">
      <c r="A23" s="23" t="n">
        <v>21</v>
      </c>
      <c r="B23" s="23" t="s">
        <v>31</v>
      </c>
      <c r="C23" s="23" t="s">
        <v>150</v>
      </c>
      <c r="D23" s="23" t="s">
        <v>42</v>
      </c>
      <c r="E23" s="23" t="s">
        <v>151</v>
      </c>
      <c r="F23" s="23" t="s">
        <v>145</v>
      </c>
      <c r="G23" s="23" t="s">
        <v>31</v>
      </c>
      <c r="H23" s="32" t="s">
        <v>36</v>
      </c>
      <c r="I23" s="23" t="s">
        <v>103</v>
      </c>
      <c r="J23" s="23" t="s">
        <v>146</v>
      </c>
      <c r="K23" s="23" t="s">
        <v>152</v>
      </c>
      <c r="L23" s="23" t="n">
        <v>56700</v>
      </c>
      <c r="M23" s="23" t="n">
        <v>1949</v>
      </c>
      <c r="N23" s="23" t="n">
        <v>10</v>
      </c>
      <c r="O23" s="23" t="n">
        <v>7</v>
      </c>
      <c r="P23" s="23" t="n">
        <v>117.24</v>
      </c>
      <c r="Q23" s="24" t="n">
        <v>21427700000000</v>
      </c>
      <c r="R23" s="23" t="n">
        <v>78.5</v>
      </c>
      <c r="S23" s="23" t="n">
        <v>9.6</v>
      </c>
      <c r="T23" s="23" t="n">
        <v>36.6</v>
      </c>
      <c r="U23" s="23" t="n">
        <v>328239523</v>
      </c>
      <c r="V23" s="33" t="n">
        <f aca="false">YEARFRAC(W23,X23,1)</f>
        <v>76.2888132261575</v>
      </c>
      <c r="W23" s="34" t="n">
        <f aca="false">DATE(M23,N23,O23)</f>
        <v>18178</v>
      </c>
      <c r="X23" s="34" t="n">
        <f aca="true">TODAY()</f>
        <v>46042</v>
      </c>
    </row>
    <row r="24" customFormat="false" ht="15" hidden="false" customHeight="false" outlineLevel="0" collapsed="false">
      <c r="A24" s="23" t="n">
        <v>22</v>
      </c>
      <c r="B24" s="23" t="s">
        <v>75</v>
      </c>
      <c r="C24" s="23" t="s">
        <v>153</v>
      </c>
      <c r="D24" s="23" t="s">
        <v>154</v>
      </c>
      <c r="E24" s="23" t="s">
        <v>155</v>
      </c>
      <c r="F24" s="23" t="s">
        <v>156</v>
      </c>
      <c r="G24" s="23" t="s">
        <v>75</v>
      </c>
      <c r="H24" s="32" t="s">
        <v>36</v>
      </c>
      <c r="I24" s="23" t="s">
        <v>37</v>
      </c>
      <c r="J24" s="23" t="s">
        <v>157</v>
      </c>
      <c r="K24" s="23" t="s">
        <v>158</v>
      </c>
      <c r="L24" s="23" t="n">
        <v>54400</v>
      </c>
      <c r="M24" s="23" t="n">
        <v>1957</v>
      </c>
      <c r="N24" s="23" t="n">
        <v>6</v>
      </c>
      <c r="O24" s="23" t="n">
        <v>12</v>
      </c>
      <c r="P24" s="23" t="n">
        <v>116.76</v>
      </c>
      <c r="Q24" s="24" t="n">
        <v>1736425629520</v>
      </c>
      <c r="R24" s="23" t="n">
        <v>81.9</v>
      </c>
      <c r="S24" s="23" t="n">
        <v>12.8</v>
      </c>
      <c r="T24" s="23" t="n">
        <v>24.5</v>
      </c>
      <c r="U24" s="23" t="n">
        <v>36991981</v>
      </c>
      <c r="V24" s="33" t="n">
        <f aca="false">YEARFRAC(W24,X24,1)</f>
        <v>68.6091446004615</v>
      </c>
      <c r="W24" s="34" t="n">
        <f aca="false">DATE(M24,N24,O24)</f>
        <v>20983</v>
      </c>
      <c r="X24" s="34" t="n">
        <f aca="true">TODAY()</f>
        <v>46042</v>
      </c>
    </row>
    <row r="25" customFormat="false" ht="15" hidden="false" customHeight="false" outlineLevel="0" collapsed="false">
      <c r="A25" s="23" t="n">
        <v>23</v>
      </c>
      <c r="B25" s="23" t="s">
        <v>49</v>
      </c>
      <c r="C25" s="23" t="s">
        <v>159</v>
      </c>
      <c r="D25" s="23" t="s">
        <v>42</v>
      </c>
      <c r="E25" s="23" t="s">
        <v>43</v>
      </c>
      <c r="F25" s="23" t="s">
        <v>160</v>
      </c>
      <c r="G25" s="23" t="s">
        <v>49</v>
      </c>
      <c r="H25" s="32" t="s">
        <v>45</v>
      </c>
      <c r="I25" s="23" t="s">
        <v>37</v>
      </c>
      <c r="J25" s="23" t="s">
        <v>161</v>
      </c>
      <c r="K25" s="23" t="s">
        <v>80</v>
      </c>
      <c r="L25" s="23" t="n">
        <v>50100</v>
      </c>
      <c r="M25" s="23" t="n">
        <v>1965</v>
      </c>
      <c r="N25" s="23" t="n">
        <v>2</v>
      </c>
      <c r="O25" s="23" t="n">
        <v>23</v>
      </c>
      <c r="P25" s="23" t="n">
        <v>117.24</v>
      </c>
      <c r="Q25" s="24" t="n">
        <v>21427700000000</v>
      </c>
      <c r="R25" s="23" t="n">
        <v>78.5</v>
      </c>
      <c r="S25" s="23" t="n">
        <v>9.6</v>
      </c>
      <c r="T25" s="23" t="n">
        <v>36.6</v>
      </c>
      <c r="U25" s="23" t="n">
        <v>328239523</v>
      </c>
      <c r="V25" s="33" t="n">
        <f aca="false">YEARFRAC(W25,X25,1)</f>
        <v>60.9075734157651</v>
      </c>
      <c r="W25" s="34" t="n">
        <f aca="false">DATE(M25,N25,O25)</f>
        <v>23796</v>
      </c>
      <c r="X25" s="34" t="n">
        <f aca="true">TODAY()</f>
        <v>46042</v>
      </c>
    </row>
    <row r="26" customFormat="false" ht="15" hidden="false" customHeight="false" outlineLevel="0" collapsed="false">
      <c r="A26" s="23" t="n">
        <v>24</v>
      </c>
      <c r="B26" s="23" t="s">
        <v>89</v>
      </c>
      <c r="C26" s="23" t="s">
        <v>162</v>
      </c>
      <c r="D26" s="23" t="s">
        <v>91</v>
      </c>
      <c r="E26" s="23" t="s">
        <v>163</v>
      </c>
      <c r="F26" s="23" t="s">
        <v>164</v>
      </c>
      <c r="G26" s="23" t="s">
        <v>89</v>
      </c>
      <c r="H26" s="32" t="s">
        <v>45</v>
      </c>
      <c r="I26" s="23" t="s">
        <v>37</v>
      </c>
      <c r="J26" s="23" t="s">
        <v>165</v>
      </c>
      <c r="K26" s="23" t="s">
        <v>166</v>
      </c>
      <c r="L26" s="23" t="n">
        <v>47200</v>
      </c>
      <c r="M26" s="23" t="n">
        <v>1962</v>
      </c>
      <c r="N26" s="23" t="n">
        <v>6</v>
      </c>
      <c r="O26" s="23" t="n">
        <v>24</v>
      </c>
      <c r="P26" s="23" t="n">
        <v>180.44</v>
      </c>
      <c r="Q26" s="24" t="n">
        <v>2611000000000</v>
      </c>
      <c r="R26" s="23" t="n">
        <v>69.4</v>
      </c>
      <c r="S26" s="23" t="n">
        <v>11.2</v>
      </c>
      <c r="T26" s="23" t="n">
        <v>49.7</v>
      </c>
      <c r="U26" s="23" t="n">
        <v>1366417754</v>
      </c>
      <c r="V26" s="33" t="n">
        <f aca="false">YEARFRAC(W26,X26,1)</f>
        <v>63.5763025988796</v>
      </c>
      <c r="W26" s="34" t="n">
        <f aca="false">DATE(M26,N26,O26)</f>
        <v>22821</v>
      </c>
      <c r="X26" s="34" t="n">
        <f aca="true">TODAY()</f>
        <v>46042</v>
      </c>
    </row>
    <row r="27" customFormat="false" ht="15" hidden="false" customHeight="false" outlineLevel="0" collapsed="false">
      <c r="A27" s="23" t="n">
        <v>25</v>
      </c>
      <c r="B27" s="23" t="s">
        <v>31</v>
      </c>
      <c r="C27" s="23" t="s">
        <v>167</v>
      </c>
      <c r="D27" s="23" t="s">
        <v>42</v>
      </c>
      <c r="E27" s="23" t="s">
        <v>168</v>
      </c>
      <c r="F27" s="23" t="s">
        <v>169</v>
      </c>
      <c r="G27" s="23" t="s">
        <v>31</v>
      </c>
      <c r="H27" s="32" t="s">
        <v>45</v>
      </c>
      <c r="I27" s="23" t="s">
        <v>37</v>
      </c>
      <c r="J27" s="23" t="s">
        <v>170</v>
      </c>
      <c r="K27" s="23" t="s">
        <v>171</v>
      </c>
      <c r="L27" s="23" t="n">
        <v>45100</v>
      </c>
      <c r="M27" s="23" t="n">
        <v>1938</v>
      </c>
      <c r="N27" s="23" t="n">
        <v>2</v>
      </c>
      <c r="O27" s="23" t="n">
        <v>24</v>
      </c>
      <c r="P27" s="23" t="n">
        <v>117.24</v>
      </c>
      <c r="Q27" s="24" t="n">
        <v>21427700000000</v>
      </c>
      <c r="R27" s="23" t="n">
        <v>78.5</v>
      </c>
      <c r="S27" s="23" t="n">
        <v>9.6</v>
      </c>
      <c r="T27" s="23" t="n">
        <v>36.6</v>
      </c>
      <c r="U27" s="23" t="n">
        <v>328239523</v>
      </c>
      <c r="V27" s="33" t="n">
        <f aca="false">YEARFRAC(W27,X27,1)</f>
        <v>87.9048512628049</v>
      </c>
      <c r="W27" s="26" t="n">
        <f aca="false">DATE(M27,N27,O27)</f>
        <v>13935</v>
      </c>
      <c r="X27" s="26" t="n">
        <f aca="true">TODAY()</f>
        <v>46042</v>
      </c>
    </row>
    <row r="28" customFormat="false" ht="15" hidden="false" customHeight="false" outlineLevel="0" collapsed="false">
      <c r="A28" s="23" t="n">
        <v>26</v>
      </c>
      <c r="B28" s="23" t="s">
        <v>49</v>
      </c>
      <c r="C28" s="23" t="s">
        <v>172</v>
      </c>
      <c r="D28" s="23" t="s">
        <v>126</v>
      </c>
      <c r="E28" s="23" t="s">
        <v>173</v>
      </c>
      <c r="F28" s="23" t="s">
        <v>174</v>
      </c>
      <c r="G28" s="23" t="s">
        <v>49</v>
      </c>
      <c r="H28" s="32" t="s">
        <v>45</v>
      </c>
      <c r="I28" s="23" t="s">
        <v>37</v>
      </c>
      <c r="J28" s="23" t="s">
        <v>175</v>
      </c>
      <c r="K28" s="23" t="s">
        <v>176</v>
      </c>
      <c r="L28" s="23" t="n">
        <v>45000</v>
      </c>
      <c r="M28" s="23" t="n">
        <v>1984</v>
      </c>
      <c r="N28" s="23" t="n">
        <v>1</v>
      </c>
      <c r="O28" s="23" t="n">
        <v>1</v>
      </c>
      <c r="P28" s="23" t="n">
        <v>125.08</v>
      </c>
      <c r="Q28" s="24" t="n">
        <v>19910000000000</v>
      </c>
      <c r="R28" s="23" t="n">
        <v>77</v>
      </c>
      <c r="S28" s="23" t="n">
        <v>9.4</v>
      </c>
      <c r="T28" s="23" t="n">
        <v>59.2</v>
      </c>
      <c r="U28" s="23" t="n">
        <v>1397715000</v>
      </c>
      <c r="V28" s="33" t="n">
        <f aca="false">YEARFRAC(W28,X28,1)</f>
        <v>42.0527187062269</v>
      </c>
      <c r="W28" s="26" t="n">
        <f aca="false">DATE(M28,N28,O28)</f>
        <v>30682</v>
      </c>
      <c r="X28" s="26" t="n">
        <f aca="true">TODAY()</f>
        <v>46042</v>
      </c>
    </row>
    <row r="29" customFormat="false" ht="15" hidden="false" customHeight="false" outlineLevel="0" collapsed="false">
      <c r="A29" s="23" t="n">
        <v>27</v>
      </c>
      <c r="B29" s="23" t="s">
        <v>31</v>
      </c>
      <c r="C29" s="23" t="s">
        <v>177</v>
      </c>
      <c r="D29" s="23" t="s">
        <v>178</v>
      </c>
      <c r="E29" s="23" t="s">
        <v>179</v>
      </c>
      <c r="F29" s="23" t="s">
        <v>180</v>
      </c>
      <c r="G29" s="23" t="s">
        <v>31</v>
      </c>
      <c r="H29" s="32" t="s">
        <v>36</v>
      </c>
      <c r="I29" s="23" t="s">
        <v>37</v>
      </c>
      <c r="J29" s="23" t="s">
        <v>181</v>
      </c>
      <c r="K29" s="23" t="s">
        <v>182</v>
      </c>
      <c r="L29" s="23" t="n">
        <v>42900</v>
      </c>
      <c r="M29" s="23" t="n">
        <v>1939</v>
      </c>
      <c r="N29" s="23" t="n">
        <v>9</v>
      </c>
      <c r="O29" s="23" t="n">
        <v>24</v>
      </c>
      <c r="P29" s="23" t="n">
        <v>112.85</v>
      </c>
      <c r="Q29" s="24" t="n">
        <v>3845630030824</v>
      </c>
      <c r="R29" s="23" t="n">
        <v>80.9</v>
      </c>
      <c r="S29" s="23" t="n">
        <v>11.5</v>
      </c>
      <c r="T29" s="23" t="n">
        <v>48.8</v>
      </c>
      <c r="U29" s="23" t="n">
        <v>83132799</v>
      </c>
      <c r="V29" s="33" t="n">
        <f aca="false">YEARFRAC(W29,X29,1)</f>
        <v>86.3244353182752</v>
      </c>
      <c r="W29" s="26" t="n">
        <f aca="false">DATE(M29,N29,O29)</f>
        <v>14512</v>
      </c>
      <c r="X29" s="26" t="n">
        <f aca="true">TODAY()</f>
        <v>46042</v>
      </c>
    </row>
    <row r="30" customFormat="false" ht="15" hidden="false" customHeight="false" outlineLevel="0" collapsed="false">
      <c r="A30" s="23" t="n">
        <v>28</v>
      </c>
      <c r="B30" s="23" t="s">
        <v>31</v>
      </c>
      <c r="C30" s="23" t="s">
        <v>183</v>
      </c>
      <c r="D30" s="23" t="s">
        <v>33</v>
      </c>
      <c r="E30" s="23" t="s">
        <v>34</v>
      </c>
      <c r="F30" s="23" t="s">
        <v>184</v>
      </c>
      <c r="G30" s="23" t="s">
        <v>31</v>
      </c>
      <c r="H30" s="32" t="s">
        <v>45</v>
      </c>
      <c r="I30" s="23" t="s">
        <v>37</v>
      </c>
      <c r="J30" s="23" t="s">
        <v>185</v>
      </c>
      <c r="K30" s="23" t="s">
        <v>186</v>
      </c>
      <c r="L30" s="23" t="n">
        <v>40100</v>
      </c>
      <c r="M30" s="23" t="n">
        <v>1936</v>
      </c>
      <c r="N30" s="23" t="n">
        <v>8</v>
      </c>
      <c r="O30" s="23" t="n">
        <v>21</v>
      </c>
      <c r="P30" s="23" t="n">
        <v>110.05</v>
      </c>
      <c r="Q30" s="24" t="n">
        <v>2715518274227</v>
      </c>
      <c r="R30" s="23" t="n">
        <v>82.5</v>
      </c>
      <c r="S30" s="23" t="n">
        <v>24.2</v>
      </c>
      <c r="T30" s="23" t="n">
        <v>60.7</v>
      </c>
      <c r="U30" s="23" t="n">
        <v>67059887</v>
      </c>
      <c r="V30" s="33" t="n">
        <f aca="false">YEARFRAC(W30,X30,1)</f>
        <v>89.414796317468</v>
      </c>
      <c r="W30" s="26" t="n">
        <f aca="false">DATE(M30,N30,O30)</f>
        <v>13383</v>
      </c>
      <c r="X30" s="26" t="n">
        <f aca="true">TODAY()</f>
        <v>46042</v>
      </c>
    </row>
    <row r="31" customFormat="false" ht="15" hidden="false" customHeight="false" outlineLevel="0" collapsed="false">
      <c r="A31" s="23" t="n">
        <v>29</v>
      </c>
      <c r="B31" s="23" t="s">
        <v>187</v>
      </c>
      <c r="C31" s="23" t="s">
        <v>188</v>
      </c>
      <c r="D31" s="23" t="s">
        <v>189</v>
      </c>
      <c r="E31" s="23" t="s">
        <v>190</v>
      </c>
      <c r="F31" s="23" t="s">
        <v>191</v>
      </c>
      <c r="G31" s="23" t="s">
        <v>187</v>
      </c>
      <c r="H31" s="32" t="s">
        <v>36</v>
      </c>
      <c r="I31" s="23" t="s">
        <v>37</v>
      </c>
      <c r="J31" s="23" t="s">
        <v>192</v>
      </c>
      <c r="K31" s="23" t="s">
        <v>193</v>
      </c>
      <c r="L31" s="23" t="n">
        <v>39100</v>
      </c>
      <c r="M31" s="23" t="n">
        <v>1937</v>
      </c>
      <c r="N31" s="23" t="n">
        <v>6</v>
      </c>
      <c r="O31" s="23" t="n">
        <v>2</v>
      </c>
      <c r="P31" s="23" t="n">
        <v>99.55</v>
      </c>
      <c r="Q31" s="24" t="n">
        <v>703082435360</v>
      </c>
      <c r="R31" s="23" t="n">
        <v>83.6</v>
      </c>
      <c r="S31" s="23" t="n">
        <v>10.1</v>
      </c>
      <c r="T31" s="23" t="n">
        <v>28.8</v>
      </c>
      <c r="U31" s="23" t="n">
        <v>8574832</v>
      </c>
      <c r="V31" s="33" t="n">
        <f aca="false">YEARFRAC(W31,X31,1)</f>
        <v>88.6365295692383</v>
      </c>
      <c r="W31" s="26" t="n">
        <f aca="false">DATE(M31,N31,O31)</f>
        <v>13668</v>
      </c>
      <c r="X31" s="26" t="n">
        <f aca="true">TODAY()</f>
        <v>46042</v>
      </c>
    </row>
    <row r="32" customFormat="false" ht="15" hidden="false" customHeight="false" outlineLevel="0" collapsed="false">
      <c r="A32" s="23" t="n">
        <v>30</v>
      </c>
      <c r="B32" s="23" t="s">
        <v>124</v>
      </c>
      <c r="C32" s="23" t="s">
        <v>194</v>
      </c>
      <c r="D32" s="23" t="s">
        <v>195</v>
      </c>
      <c r="E32" s="23" t="s">
        <v>196</v>
      </c>
      <c r="F32" s="23" t="s">
        <v>197</v>
      </c>
      <c r="G32" s="23" t="s">
        <v>124</v>
      </c>
      <c r="H32" s="32" t="s">
        <v>36</v>
      </c>
      <c r="I32" s="23" t="s">
        <v>37</v>
      </c>
      <c r="J32" s="23" t="s">
        <v>198</v>
      </c>
      <c r="K32" s="23" t="s">
        <v>199</v>
      </c>
      <c r="L32" s="23" t="n">
        <v>38900</v>
      </c>
      <c r="M32" s="23" t="n">
        <v>1964</v>
      </c>
      <c r="N32" s="23" t="n">
        <v>9</v>
      </c>
      <c r="O32" s="23" t="n">
        <v>21</v>
      </c>
      <c r="P32" s="23" t="n">
        <v>117.11</v>
      </c>
      <c r="Q32" s="24" t="n">
        <v>529606710418</v>
      </c>
      <c r="R32" s="23" t="n">
        <v>81.6</v>
      </c>
      <c r="S32" s="23" t="n">
        <v>24</v>
      </c>
      <c r="T32" s="23" t="n">
        <v>55.4</v>
      </c>
      <c r="U32" s="23" t="n">
        <v>11484055</v>
      </c>
      <c r="V32" s="33" t="n">
        <f aca="false">YEARFRAC(W32,X32,1)</f>
        <v>61.3299291643127</v>
      </c>
      <c r="W32" s="26" t="n">
        <f aca="false">DATE(M32,N32,O32)</f>
        <v>23641</v>
      </c>
      <c r="X32" s="26" t="n">
        <f aca="true">TODAY()</f>
        <v>46042</v>
      </c>
    </row>
    <row r="33" customFormat="false" ht="15" hidden="false" customHeight="false" outlineLevel="0" collapsed="false">
      <c r="A33" s="23" t="n">
        <v>31</v>
      </c>
      <c r="B33" s="23" t="s">
        <v>124</v>
      </c>
      <c r="C33" s="23" t="s">
        <v>200</v>
      </c>
      <c r="D33" s="23" t="s">
        <v>42</v>
      </c>
      <c r="E33" s="23" t="s">
        <v>201</v>
      </c>
      <c r="F33" s="23" t="s">
        <v>202</v>
      </c>
      <c r="G33" s="23" t="s">
        <v>124</v>
      </c>
      <c r="H33" s="32" t="s">
        <v>36</v>
      </c>
      <c r="I33" s="23" t="s">
        <v>103</v>
      </c>
      <c r="J33" s="23" t="s">
        <v>203</v>
      </c>
      <c r="K33" s="23" t="s">
        <v>204</v>
      </c>
      <c r="L33" s="23" t="n">
        <v>38300</v>
      </c>
      <c r="M33" s="23" t="n">
        <v>1939</v>
      </c>
      <c r="N33" s="23" t="n">
        <v>10</v>
      </c>
      <c r="O33" s="23" t="n">
        <v>10</v>
      </c>
      <c r="P33" s="23" t="n">
        <v>117.24</v>
      </c>
      <c r="Q33" s="24" t="n">
        <v>21427700000000</v>
      </c>
      <c r="R33" s="23" t="n">
        <v>78.5</v>
      </c>
      <c r="S33" s="23" t="n">
        <v>9.6</v>
      </c>
      <c r="T33" s="23" t="n">
        <v>36.6</v>
      </c>
      <c r="U33" s="23" t="n">
        <v>328239523</v>
      </c>
      <c r="V33" s="33" t="n">
        <f aca="false">YEARFRAC(W33,X33,1)</f>
        <v>86.280629705681</v>
      </c>
      <c r="W33" s="26" t="n">
        <f aca="false">DATE(M33,N33,O33)</f>
        <v>14528</v>
      </c>
      <c r="X33" s="26" t="n">
        <f aca="true">TODAY()</f>
        <v>46042</v>
      </c>
    </row>
    <row r="34" customFormat="false" ht="15" hidden="false" customHeight="false" outlineLevel="0" collapsed="false">
      <c r="A34" s="23" t="n">
        <v>31</v>
      </c>
      <c r="B34" s="23" t="s">
        <v>124</v>
      </c>
      <c r="C34" s="23" t="s">
        <v>205</v>
      </c>
      <c r="D34" s="23" t="s">
        <v>42</v>
      </c>
      <c r="E34" s="23" t="s">
        <v>206</v>
      </c>
      <c r="F34" s="23" t="s">
        <v>202</v>
      </c>
      <c r="G34" s="23" t="s">
        <v>124</v>
      </c>
      <c r="H34" s="32" t="s">
        <v>36</v>
      </c>
      <c r="I34" s="23" t="s">
        <v>37</v>
      </c>
      <c r="J34" s="23" t="s">
        <v>203</v>
      </c>
      <c r="K34" s="23" t="s">
        <v>207</v>
      </c>
      <c r="L34" s="23" t="n">
        <v>38300</v>
      </c>
      <c r="M34" s="23" t="n">
        <v>1935</v>
      </c>
      <c r="N34" s="23" t="n">
        <v>10</v>
      </c>
      <c r="O34" s="23" t="n">
        <v>15</v>
      </c>
      <c r="P34" s="23" t="n">
        <v>117.24</v>
      </c>
      <c r="Q34" s="24" t="n">
        <v>21427700000000</v>
      </c>
      <c r="R34" s="23" t="n">
        <v>78.5</v>
      </c>
      <c r="S34" s="23" t="n">
        <v>9.6</v>
      </c>
      <c r="T34" s="23" t="n">
        <v>36.6</v>
      </c>
      <c r="U34" s="23" t="n">
        <v>328239523</v>
      </c>
      <c r="V34" s="33" t="n">
        <f aca="false">YEARFRAC(W34,X34,1)</f>
        <v>90.2669404517454</v>
      </c>
      <c r="W34" s="26" t="n">
        <f aca="false">DATE(M34,N34,O34)</f>
        <v>13072</v>
      </c>
      <c r="X34" s="26" t="n">
        <f aca="true">TODAY()</f>
        <v>46042</v>
      </c>
    </row>
    <row r="35" customFormat="false" ht="15" hidden="false" customHeight="false" outlineLevel="0" collapsed="false">
      <c r="A35" s="23" t="n">
        <v>34</v>
      </c>
      <c r="B35" s="23" t="s">
        <v>49</v>
      </c>
      <c r="C35" s="23" t="s">
        <v>208</v>
      </c>
      <c r="D35" s="23" t="s">
        <v>126</v>
      </c>
      <c r="E35" s="23" t="s">
        <v>209</v>
      </c>
      <c r="F35" s="23" t="s">
        <v>210</v>
      </c>
      <c r="G35" s="23" t="s">
        <v>49</v>
      </c>
      <c r="H35" s="32" t="s">
        <v>45</v>
      </c>
      <c r="I35" s="23" t="s">
        <v>37</v>
      </c>
      <c r="J35" s="23" t="s">
        <v>211</v>
      </c>
      <c r="K35" s="23" t="s">
        <v>212</v>
      </c>
      <c r="L35" s="23" t="n">
        <v>35300</v>
      </c>
      <c r="M35" s="23" t="n">
        <v>1971</v>
      </c>
      <c r="N35" s="23" t="n">
        <v>10</v>
      </c>
      <c r="O35" s="23" t="n">
        <v>29</v>
      </c>
      <c r="P35" s="23" t="n">
        <v>125.08</v>
      </c>
      <c r="Q35" s="24" t="n">
        <v>19910000000000</v>
      </c>
      <c r="R35" s="23" t="n">
        <v>77</v>
      </c>
      <c r="S35" s="23" t="n">
        <v>9.4</v>
      </c>
      <c r="T35" s="23" t="n">
        <v>59.2</v>
      </c>
      <c r="U35" s="23" t="n">
        <v>1397715000</v>
      </c>
      <c r="V35" s="33" t="n">
        <f aca="false">YEARFRAC(W35,X35,1)</f>
        <v>54.2286105407255</v>
      </c>
      <c r="W35" s="26" t="n">
        <f aca="false">DATE(M35,N35,O35)</f>
        <v>26235</v>
      </c>
      <c r="X35" s="26" t="n">
        <f aca="true">TODAY()</f>
        <v>46042</v>
      </c>
    </row>
    <row r="36" customFormat="false" ht="15" hidden="false" customHeight="false" outlineLevel="0" collapsed="false">
      <c r="A36" s="23" t="n">
        <v>35</v>
      </c>
      <c r="B36" s="23" t="s">
        <v>213</v>
      </c>
      <c r="C36" s="23" t="s">
        <v>214</v>
      </c>
      <c r="D36" s="23" t="s">
        <v>42</v>
      </c>
      <c r="E36" s="23" t="s">
        <v>215</v>
      </c>
      <c r="F36" s="23" t="s">
        <v>216</v>
      </c>
      <c r="G36" s="23" t="s">
        <v>213</v>
      </c>
      <c r="H36" s="32" t="s">
        <v>36</v>
      </c>
      <c r="I36" s="23" t="s">
        <v>103</v>
      </c>
      <c r="J36" s="23" t="s">
        <v>217</v>
      </c>
      <c r="K36" s="23" t="s">
        <v>218</v>
      </c>
      <c r="L36" s="23" t="n">
        <v>35000</v>
      </c>
      <c r="M36" s="23" t="n">
        <v>1945</v>
      </c>
      <c r="N36" s="23" t="n">
        <v>10</v>
      </c>
      <c r="O36" s="23" t="n">
        <v>10</v>
      </c>
      <c r="P36" s="23" t="n">
        <v>117.24</v>
      </c>
      <c r="Q36" s="24" t="n">
        <v>21427700000000</v>
      </c>
      <c r="R36" s="23" t="n">
        <v>78.5</v>
      </c>
      <c r="S36" s="23" t="n">
        <v>9.6</v>
      </c>
      <c r="T36" s="23" t="n">
        <v>36.6</v>
      </c>
      <c r="U36" s="23" t="n">
        <v>328239523</v>
      </c>
      <c r="V36" s="33" t="n">
        <f aca="false">YEARFRAC(W36,X36,1)</f>
        <v>80.2806010016695</v>
      </c>
      <c r="W36" s="26" t="n">
        <f aca="false">DATE(M36,N36,O36)</f>
        <v>16720</v>
      </c>
      <c r="X36" s="26" t="n">
        <f aca="true">TODAY()</f>
        <v>46042</v>
      </c>
    </row>
    <row r="37" customFormat="false" ht="15" hidden="false" customHeight="false" outlineLevel="0" collapsed="false">
      <c r="A37" s="23" t="n">
        <v>35</v>
      </c>
      <c r="B37" s="23" t="s">
        <v>62</v>
      </c>
      <c r="C37" s="23" t="s">
        <v>219</v>
      </c>
      <c r="D37" s="23" t="s">
        <v>42</v>
      </c>
      <c r="E37" s="23" t="s">
        <v>220</v>
      </c>
      <c r="F37" s="23" t="s">
        <v>221</v>
      </c>
      <c r="G37" s="23" t="s">
        <v>62</v>
      </c>
      <c r="H37" s="32" t="s">
        <v>45</v>
      </c>
      <c r="I37" s="23" t="s">
        <v>37</v>
      </c>
      <c r="J37" s="23" t="s">
        <v>222</v>
      </c>
      <c r="K37" s="23" t="s">
        <v>223</v>
      </c>
      <c r="L37" s="23" t="n">
        <v>35000</v>
      </c>
      <c r="M37" s="23" t="n">
        <v>1968</v>
      </c>
      <c r="N37" s="23" t="n">
        <v>10</v>
      </c>
      <c r="O37" s="23" t="n">
        <v>15</v>
      </c>
      <c r="P37" s="23" t="n">
        <v>117.24</v>
      </c>
      <c r="Q37" s="24" t="n">
        <v>21427700000000</v>
      </c>
      <c r="R37" s="23" t="n">
        <v>78.5</v>
      </c>
      <c r="S37" s="23" t="n">
        <v>9.6</v>
      </c>
      <c r="T37" s="23" t="n">
        <v>36.6</v>
      </c>
      <c r="U37" s="23" t="n">
        <v>328239523</v>
      </c>
      <c r="V37" s="33" t="n">
        <f aca="false">YEARFRAC(W37,X37,1)</f>
        <v>57.264222737819</v>
      </c>
      <c r="W37" s="26" t="n">
        <f aca="false">DATE(M37,N37,O37)</f>
        <v>25126</v>
      </c>
      <c r="X37" s="26" t="n">
        <f aca="true">TODAY()</f>
        <v>46042</v>
      </c>
    </row>
    <row r="38" customFormat="false" ht="15" hidden="false" customHeight="false" outlineLevel="0" collapsed="false">
      <c r="A38" s="23" t="n">
        <v>37</v>
      </c>
      <c r="B38" s="23" t="s">
        <v>124</v>
      </c>
      <c r="C38" s="23" t="s">
        <v>224</v>
      </c>
      <c r="D38" s="23" t="s">
        <v>225</v>
      </c>
      <c r="E38" s="23" t="s">
        <v>226</v>
      </c>
      <c r="F38" s="23" t="s">
        <v>227</v>
      </c>
      <c r="G38" s="23" t="s">
        <v>124</v>
      </c>
      <c r="H38" s="32" t="s">
        <v>36</v>
      </c>
      <c r="I38" s="23" t="s">
        <v>37</v>
      </c>
      <c r="J38" s="23" t="s">
        <v>228</v>
      </c>
      <c r="K38" s="23" t="s">
        <v>135</v>
      </c>
      <c r="L38" s="23" t="n">
        <v>34700</v>
      </c>
      <c r="M38" s="23" t="n">
        <v>1992</v>
      </c>
      <c r="N38" s="23" t="n">
        <v>5</v>
      </c>
      <c r="O38" s="23" t="n">
        <v>7</v>
      </c>
      <c r="P38" s="23" t="n">
        <v>118.06</v>
      </c>
      <c r="Q38" s="24" t="n">
        <v>446314739528</v>
      </c>
      <c r="R38" s="23" t="n">
        <v>81.6</v>
      </c>
      <c r="S38" s="23" t="n">
        <v>25.4</v>
      </c>
      <c r="T38" s="23" t="n">
        <v>51.4</v>
      </c>
      <c r="U38" s="23" t="n">
        <v>8877067</v>
      </c>
      <c r="V38" s="33" t="n">
        <f aca="false">YEARFRAC(W38,X38,1)</f>
        <v>33.705021902378</v>
      </c>
      <c r="W38" s="26" t="n">
        <f aca="false">DATE(M38,N38,O38)</f>
        <v>33731</v>
      </c>
      <c r="X38" s="26" t="n">
        <f aca="true">TODAY()</f>
        <v>46042</v>
      </c>
    </row>
    <row r="39" customFormat="false" ht="15" hidden="false" customHeight="false" outlineLevel="0" collapsed="false">
      <c r="A39" s="23" t="n">
        <v>37</v>
      </c>
      <c r="B39" s="23" t="s">
        <v>124</v>
      </c>
      <c r="C39" s="23" t="s">
        <v>224</v>
      </c>
      <c r="D39" s="23" t="s">
        <v>225</v>
      </c>
      <c r="E39" s="23" t="s">
        <v>226</v>
      </c>
      <c r="F39" s="23" t="s">
        <v>227</v>
      </c>
      <c r="G39" s="23" t="s">
        <v>124</v>
      </c>
      <c r="H39" s="32" t="s">
        <v>36</v>
      </c>
      <c r="I39" s="23" t="s">
        <v>37</v>
      </c>
      <c r="J39" s="23" t="s">
        <v>228</v>
      </c>
      <c r="K39" s="23" t="s">
        <v>135</v>
      </c>
      <c r="L39" s="23" t="n">
        <v>34700</v>
      </c>
      <c r="M39" s="23" t="n">
        <v>1992</v>
      </c>
      <c r="N39" s="23" t="n">
        <v>5</v>
      </c>
      <c r="O39" s="23" t="n">
        <v>7</v>
      </c>
      <c r="P39" s="23" t="n">
        <v>118.06</v>
      </c>
      <c r="Q39" s="24" t="n">
        <v>446314739528</v>
      </c>
      <c r="R39" s="23" t="n">
        <v>81.6</v>
      </c>
      <c r="S39" s="23" t="n">
        <v>25.4</v>
      </c>
      <c r="T39" s="23" t="n">
        <v>51.4</v>
      </c>
      <c r="U39" s="23" t="n">
        <v>8877067</v>
      </c>
      <c r="V39" s="33" t="n">
        <f aca="false">YEARFRAC(W39,X39,1)</f>
        <v>33.705021902378</v>
      </c>
      <c r="W39" s="26" t="n">
        <f aca="false">DATE(M39,N39,O39)</f>
        <v>33731</v>
      </c>
      <c r="X39" s="26" t="n">
        <f aca="true">TODAY()</f>
        <v>46042</v>
      </c>
    </row>
    <row r="40" customFormat="false" ht="15" hidden="false" customHeight="false" outlineLevel="0" collapsed="false">
      <c r="A40" s="23" t="n">
        <v>38</v>
      </c>
      <c r="B40" s="23" t="s">
        <v>40</v>
      </c>
      <c r="C40" s="23" t="s">
        <v>229</v>
      </c>
      <c r="D40" s="23" t="s">
        <v>126</v>
      </c>
      <c r="E40" s="23" t="s">
        <v>230</v>
      </c>
      <c r="F40" s="23" t="s">
        <v>231</v>
      </c>
      <c r="G40" s="23" t="s">
        <v>40</v>
      </c>
      <c r="H40" s="32" t="s">
        <v>45</v>
      </c>
      <c r="I40" s="23" t="s">
        <v>37</v>
      </c>
      <c r="J40" s="23" t="s">
        <v>232</v>
      </c>
      <c r="K40" s="23" t="s">
        <v>233</v>
      </c>
      <c r="L40" s="23" t="n">
        <v>33400</v>
      </c>
      <c r="M40" s="23" t="n">
        <v>1969</v>
      </c>
      <c r="N40" s="23" t="n">
        <v>1</v>
      </c>
      <c r="O40" s="23" t="n">
        <v>1</v>
      </c>
      <c r="P40" s="23" t="n">
        <v>125.08</v>
      </c>
      <c r="Q40" s="24" t="n">
        <v>19910000000000</v>
      </c>
      <c r="R40" s="23" t="n">
        <v>77</v>
      </c>
      <c r="S40" s="23" t="n">
        <v>9.4</v>
      </c>
      <c r="T40" s="23" t="n">
        <v>59.2</v>
      </c>
      <c r="U40" s="23" t="n">
        <v>1397715000</v>
      </c>
      <c r="V40" s="33" t="n">
        <f aca="false">YEARFRAC(W40,X40,1)</f>
        <v>57.0526812688822</v>
      </c>
      <c r="W40" s="26" t="n">
        <f aca="false">DATE(M40,N40,O40)</f>
        <v>25204</v>
      </c>
      <c r="X40" s="26" t="n">
        <f aca="true">TODAY()</f>
        <v>46042</v>
      </c>
    </row>
    <row r="41" customFormat="false" ht="15" hidden="false" customHeight="false" outlineLevel="0" collapsed="false">
      <c r="A41" s="23" t="n">
        <v>39</v>
      </c>
      <c r="B41" s="23" t="s">
        <v>31</v>
      </c>
      <c r="C41" s="23" t="s">
        <v>234</v>
      </c>
      <c r="D41" s="23" t="s">
        <v>235</v>
      </c>
      <c r="E41" s="23" t="s">
        <v>236</v>
      </c>
      <c r="F41" s="23" t="s">
        <v>237</v>
      </c>
      <c r="G41" s="23" t="s">
        <v>31</v>
      </c>
      <c r="H41" s="32" t="s">
        <v>45</v>
      </c>
      <c r="I41" s="23" t="s">
        <v>37</v>
      </c>
      <c r="J41" s="23" t="s">
        <v>238</v>
      </c>
      <c r="K41" s="23" t="s">
        <v>239</v>
      </c>
      <c r="L41" s="23" t="n">
        <v>32600</v>
      </c>
      <c r="M41" s="23" t="n">
        <v>1949</v>
      </c>
      <c r="N41" s="23" t="n">
        <v>2</v>
      </c>
      <c r="O41" s="23" t="n">
        <v>7</v>
      </c>
      <c r="P41" s="23" t="n">
        <v>105.48</v>
      </c>
      <c r="Q41" s="24" t="n">
        <v>5081769542380</v>
      </c>
      <c r="R41" s="23" t="n">
        <v>84.2</v>
      </c>
      <c r="S41" s="23" t="n">
        <v>11.9</v>
      </c>
      <c r="T41" s="23" t="n">
        <v>46.7</v>
      </c>
      <c r="U41" s="23" t="n">
        <v>126226568</v>
      </c>
      <c r="V41" s="33" t="n">
        <f aca="false">YEARFRAC(W41,X41,1)</f>
        <v>76.9513847449893</v>
      </c>
      <c r="W41" s="26" t="n">
        <f aca="false">DATE(M41,N41,O41)</f>
        <v>17936</v>
      </c>
      <c r="X41" s="26" t="n">
        <f aca="true">TODAY()</f>
        <v>46042</v>
      </c>
    </row>
    <row r="42" customFormat="false" ht="15" hidden="false" customHeight="false" outlineLevel="0" collapsed="false">
      <c r="A42" s="23" t="n">
        <v>40</v>
      </c>
      <c r="B42" s="23" t="s">
        <v>89</v>
      </c>
      <c r="C42" s="23" t="s">
        <v>240</v>
      </c>
      <c r="D42" s="23" t="s">
        <v>241</v>
      </c>
      <c r="E42" s="23" t="s">
        <v>242</v>
      </c>
      <c r="F42" s="23" t="s">
        <v>243</v>
      </c>
      <c r="G42" s="23" t="s">
        <v>89</v>
      </c>
      <c r="H42" s="32" t="s">
        <v>45</v>
      </c>
      <c r="I42" s="23" t="s">
        <v>37</v>
      </c>
      <c r="J42" s="23" t="s">
        <v>244</v>
      </c>
      <c r="K42" s="23" t="s">
        <v>245</v>
      </c>
      <c r="L42" s="23" t="n">
        <v>32100</v>
      </c>
      <c r="M42" s="23" t="n">
        <v>1957</v>
      </c>
      <c r="N42" s="23" t="n">
        <v>6</v>
      </c>
      <c r="O42" s="23" t="n">
        <v>1</v>
      </c>
      <c r="P42" s="23" t="n">
        <v>119.62</v>
      </c>
      <c r="Q42" s="24" t="n">
        <v>2827113184696</v>
      </c>
      <c r="R42" s="23" t="n">
        <v>81.3</v>
      </c>
      <c r="S42" s="23" t="n">
        <v>25.5</v>
      </c>
      <c r="T42" s="23" t="n">
        <v>30.6</v>
      </c>
      <c r="U42" s="23" t="n">
        <v>66834405</v>
      </c>
      <c r="V42" s="33" t="n">
        <f aca="false">YEARFRAC(W42,X42,1)</f>
        <v>68.6392615480893</v>
      </c>
      <c r="W42" s="26" t="n">
        <f aca="false">DATE(M42,N42,O42)</f>
        <v>20972</v>
      </c>
      <c r="X42" s="26" t="n">
        <f aca="true">TODAY()</f>
        <v>46042</v>
      </c>
    </row>
    <row r="43" customFormat="false" ht="15" hidden="false" customHeight="false" outlineLevel="0" collapsed="false">
      <c r="A43" s="23" t="n">
        <v>41</v>
      </c>
      <c r="B43" s="23" t="s">
        <v>31</v>
      </c>
      <c r="C43" s="23" t="s">
        <v>246</v>
      </c>
      <c r="D43" s="23" t="s">
        <v>42</v>
      </c>
      <c r="E43" s="23" t="s">
        <v>77</v>
      </c>
      <c r="F43" s="23" t="s">
        <v>247</v>
      </c>
      <c r="G43" s="23" t="s">
        <v>31</v>
      </c>
      <c r="H43" s="32" t="s">
        <v>36</v>
      </c>
      <c r="I43" s="23" t="s">
        <v>37</v>
      </c>
      <c r="J43" s="23" t="s">
        <v>248</v>
      </c>
      <c r="K43" s="23" t="s">
        <v>249</v>
      </c>
      <c r="L43" s="23" t="n">
        <v>31600</v>
      </c>
      <c r="M43" s="23" t="n">
        <v>1948</v>
      </c>
      <c r="N43" s="23" t="n">
        <v>8</v>
      </c>
      <c r="O43" s="23" t="n">
        <v>28</v>
      </c>
      <c r="P43" s="23" t="n">
        <v>117.24</v>
      </c>
      <c r="Q43" s="24" t="n">
        <v>21427700000000</v>
      </c>
      <c r="R43" s="23" t="n">
        <v>78.5</v>
      </c>
      <c r="S43" s="23" t="n">
        <v>9.6</v>
      </c>
      <c r="T43" s="23" t="n">
        <v>36.6</v>
      </c>
      <c r="U43" s="23" t="n">
        <v>328239523</v>
      </c>
      <c r="V43" s="33" t="n">
        <f aca="false">YEARFRAC(W43,X43,1)</f>
        <v>77.3956333391093</v>
      </c>
      <c r="W43" s="26" t="n">
        <f aca="false">DATE(M43,N43,O43)</f>
        <v>17773</v>
      </c>
      <c r="X43" s="26" t="n">
        <f aca="true">TODAY()</f>
        <v>46042</v>
      </c>
    </row>
    <row r="44" customFormat="false" ht="15" hidden="false" customHeight="false" outlineLevel="0" collapsed="false">
      <c r="A44" s="23" t="n">
        <v>41</v>
      </c>
      <c r="B44" s="23" t="s">
        <v>31</v>
      </c>
      <c r="C44" s="23" t="s">
        <v>250</v>
      </c>
      <c r="D44" s="23" t="s">
        <v>42</v>
      </c>
      <c r="E44" s="23" t="s">
        <v>77</v>
      </c>
      <c r="F44" s="23" t="s">
        <v>247</v>
      </c>
      <c r="G44" s="23" t="s">
        <v>31</v>
      </c>
      <c r="H44" s="32" t="s">
        <v>36</v>
      </c>
      <c r="I44" s="23" t="s">
        <v>37</v>
      </c>
      <c r="J44" s="23" t="s">
        <v>248</v>
      </c>
      <c r="K44" s="23" t="s">
        <v>251</v>
      </c>
      <c r="L44" s="23" t="n">
        <v>31600</v>
      </c>
      <c r="M44" s="23" t="n">
        <v>1951</v>
      </c>
      <c r="N44" s="23" t="n">
        <v>1</v>
      </c>
      <c r="O44" s="23" t="n">
        <v>9</v>
      </c>
      <c r="P44" s="23" t="n">
        <v>117.24</v>
      </c>
      <c r="Q44" s="24" t="n">
        <v>21427700000000</v>
      </c>
      <c r="R44" s="23" t="n">
        <v>78.5</v>
      </c>
      <c r="S44" s="23" t="n">
        <v>9.6</v>
      </c>
      <c r="T44" s="23" t="n">
        <v>36.6</v>
      </c>
      <c r="U44" s="23" t="n">
        <v>328239523</v>
      </c>
      <c r="V44" s="33" t="n">
        <f aca="false">YEARFRAC(W44,X44,1)</f>
        <v>75.0308008213552</v>
      </c>
      <c r="W44" s="26" t="n">
        <f aca="false">DATE(M44,N44,O44)</f>
        <v>18637</v>
      </c>
      <c r="X44" s="26" t="n">
        <f aca="true">TODAY()</f>
        <v>46042</v>
      </c>
    </row>
    <row r="45" customFormat="false" ht="15" hidden="false" customHeight="false" outlineLevel="0" collapsed="false">
      <c r="A45" s="23" t="n">
        <v>43</v>
      </c>
      <c r="B45" s="23" t="s">
        <v>187</v>
      </c>
      <c r="C45" s="23" t="s">
        <v>252</v>
      </c>
      <c r="D45" s="23" t="s">
        <v>189</v>
      </c>
      <c r="E45" s="23" t="s">
        <v>253</v>
      </c>
      <c r="F45" s="23" t="s">
        <v>191</v>
      </c>
      <c r="G45" s="23" t="s">
        <v>187</v>
      </c>
      <c r="H45" s="32" t="s">
        <v>45</v>
      </c>
      <c r="I45" s="23" t="s">
        <v>37</v>
      </c>
      <c r="J45" s="23" t="s">
        <v>254</v>
      </c>
      <c r="K45" s="23" t="s">
        <v>255</v>
      </c>
      <c r="L45" s="23" t="n">
        <v>31200</v>
      </c>
      <c r="M45" s="23" t="n">
        <v>1940</v>
      </c>
      <c r="N45" s="23" t="n">
        <v>6</v>
      </c>
      <c r="O45" s="23" t="n">
        <v>27</v>
      </c>
      <c r="P45" s="23" t="n">
        <v>99.55</v>
      </c>
      <c r="Q45" s="24" t="n">
        <v>703082435360</v>
      </c>
      <c r="R45" s="23" t="n">
        <v>83.6</v>
      </c>
      <c r="S45" s="23" t="n">
        <v>10.1</v>
      </c>
      <c r="T45" s="23" t="n">
        <v>28.8</v>
      </c>
      <c r="U45" s="23" t="n">
        <v>8574832</v>
      </c>
      <c r="V45" s="33" t="n">
        <f aca="false">YEARFRAC(W45,X45,1)</f>
        <v>85.5653774742738</v>
      </c>
      <c r="W45" s="34" t="n">
        <f aca="false">DATE(M45,N45,O45)</f>
        <v>14789</v>
      </c>
      <c r="X45" s="34" t="n">
        <f aca="true">TODAY()</f>
        <v>46042</v>
      </c>
    </row>
    <row r="46" customFormat="false" ht="15" hidden="false" customHeight="false" outlineLevel="0" collapsed="false">
      <c r="A46" s="23" t="n">
        <v>43</v>
      </c>
      <c r="B46" s="23" t="s">
        <v>187</v>
      </c>
      <c r="C46" s="23" t="s">
        <v>256</v>
      </c>
      <c r="D46" s="23" t="s">
        <v>189</v>
      </c>
      <c r="E46" s="23" t="s">
        <v>253</v>
      </c>
      <c r="F46" s="23" t="s">
        <v>191</v>
      </c>
      <c r="G46" s="23" t="s">
        <v>187</v>
      </c>
      <c r="H46" s="32" t="s">
        <v>45</v>
      </c>
      <c r="I46" s="23" t="s">
        <v>103</v>
      </c>
      <c r="J46" s="23" t="s">
        <v>257</v>
      </c>
      <c r="K46" s="23" t="s">
        <v>258</v>
      </c>
      <c r="L46" s="23" t="n">
        <v>31200</v>
      </c>
      <c r="M46" s="23" t="n">
        <v>1945</v>
      </c>
      <c r="N46" s="23" t="n">
        <v>3</v>
      </c>
      <c r="O46" s="23" t="n">
        <v>26</v>
      </c>
      <c r="P46" s="23" t="n">
        <v>99.55</v>
      </c>
      <c r="Q46" s="24" t="n">
        <v>703082435360</v>
      </c>
      <c r="R46" s="23" t="n">
        <v>83.6</v>
      </c>
      <c r="S46" s="23" t="n">
        <v>10.1</v>
      </c>
      <c r="T46" s="23" t="n">
        <v>28.8</v>
      </c>
      <c r="U46" s="23" t="n">
        <v>8574832</v>
      </c>
      <c r="V46" s="33" t="n">
        <f aca="false">YEARFRAC(W46,X46,1)</f>
        <v>80.8227045075125</v>
      </c>
      <c r="W46" s="34" t="n">
        <f aca="false">DATE(M46,N46,O46)</f>
        <v>16522</v>
      </c>
      <c r="X46" s="34" t="n">
        <f aca="true">TODAY()</f>
        <v>46042</v>
      </c>
    </row>
    <row r="47" customFormat="false" ht="15" hidden="false" customHeight="false" outlineLevel="0" collapsed="false">
      <c r="A47" s="23" t="n">
        <v>45</v>
      </c>
      <c r="B47" s="23" t="s">
        <v>49</v>
      </c>
      <c r="C47" s="23" t="s">
        <v>259</v>
      </c>
      <c r="D47" s="23" t="s">
        <v>126</v>
      </c>
      <c r="E47" s="23" t="s">
        <v>260</v>
      </c>
      <c r="F47" s="23" t="s">
        <v>261</v>
      </c>
      <c r="G47" s="23" t="s">
        <v>49</v>
      </c>
      <c r="H47" s="32" t="s">
        <v>45</v>
      </c>
      <c r="I47" s="23" t="s">
        <v>37</v>
      </c>
      <c r="J47" s="23" t="s">
        <v>262</v>
      </c>
      <c r="K47" s="23" t="s">
        <v>263</v>
      </c>
      <c r="L47" s="23" t="n">
        <v>30200</v>
      </c>
      <c r="M47" s="23" t="n">
        <v>1980</v>
      </c>
      <c r="N47" s="23" t="n">
        <v>2</v>
      </c>
      <c r="O47" s="23" t="n">
        <v>2</v>
      </c>
      <c r="P47" s="23" t="n">
        <v>125.08</v>
      </c>
      <c r="Q47" s="24" t="n">
        <v>19910000000000</v>
      </c>
      <c r="R47" s="23" t="n">
        <v>77</v>
      </c>
      <c r="S47" s="23" t="n">
        <v>9.4</v>
      </c>
      <c r="T47" s="23" t="n">
        <v>59.2</v>
      </c>
      <c r="U47" s="23" t="n">
        <v>1397715000</v>
      </c>
      <c r="V47" s="33" t="n">
        <f aca="false">YEARFRAC(W47,X47,1)</f>
        <v>45.9651074736413</v>
      </c>
      <c r="W47" s="26" t="n">
        <f aca="false">DATE(M47,N47,O47)</f>
        <v>29253</v>
      </c>
      <c r="X47" s="26" t="n">
        <f aca="true">TODAY()</f>
        <v>46042</v>
      </c>
    </row>
    <row r="48" customFormat="false" ht="15" hidden="false" customHeight="false" outlineLevel="0" collapsed="false">
      <c r="A48" s="23" t="n">
        <v>46</v>
      </c>
      <c r="B48" s="23" t="s">
        <v>264</v>
      </c>
      <c r="C48" s="23" t="s">
        <v>265</v>
      </c>
      <c r="D48" s="23" t="s">
        <v>178</v>
      </c>
      <c r="E48" s="23" t="s">
        <v>266</v>
      </c>
      <c r="F48" s="23" t="s">
        <v>267</v>
      </c>
      <c r="G48" s="23" t="s">
        <v>264</v>
      </c>
      <c r="H48" s="32" t="s">
        <v>45</v>
      </c>
      <c r="I48" s="23" t="s">
        <v>37</v>
      </c>
      <c r="J48" s="23" t="s">
        <v>268</v>
      </c>
      <c r="K48" s="23" t="s">
        <v>269</v>
      </c>
      <c r="L48" s="23" t="n">
        <v>29700</v>
      </c>
      <c r="M48" s="23" t="n">
        <v>1935</v>
      </c>
      <c r="N48" s="23" t="n">
        <v>4</v>
      </c>
      <c r="O48" s="23" t="n">
        <v>20</v>
      </c>
      <c r="P48" s="23" t="n">
        <v>112.85</v>
      </c>
      <c r="Q48" s="24" t="n">
        <v>3845630030824</v>
      </c>
      <c r="R48" s="23" t="n">
        <v>80.9</v>
      </c>
      <c r="S48" s="23" t="n">
        <v>11.5</v>
      </c>
      <c r="T48" s="23" t="n">
        <v>48.8</v>
      </c>
      <c r="U48" s="23" t="n">
        <v>83132799</v>
      </c>
      <c r="V48" s="33" t="n">
        <f aca="false">YEARFRAC(W48,X48,1)</f>
        <v>90.7542778918549</v>
      </c>
      <c r="W48" s="26" t="n">
        <f aca="false">DATE(M48,N48,O48)</f>
        <v>12894</v>
      </c>
      <c r="X48" s="26" t="n">
        <f aca="true">TODAY()</f>
        <v>46042</v>
      </c>
    </row>
    <row r="49" customFormat="false" ht="15" hidden="false" customHeight="false" outlineLevel="0" collapsed="false">
      <c r="A49" s="23" t="n">
        <v>48</v>
      </c>
      <c r="B49" s="23" t="s">
        <v>62</v>
      </c>
      <c r="C49" s="23" t="s">
        <v>270</v>
      </c>
      <c r="D49" s="23" t="s">
        <v>42</v>
      </c>
      <c r="E49" s="23" t="s">
        <v>271</v>
      </c>
      <c r="F49" s="23" t="s">
        <v>272</v>
      </c>
      <c r="G49" s="23" t="s">
        <v>62</v>
      </c>
      <c r="H49" s="32" t="s">
        <v>45</v>
      </c>
      <c r="I49" s="23" t="s">
        <v>37</v>
      </c>
      <c r="J49" s="23" t="s">
        <v>273</v>
      </c>
      <c r="K49" s="23" t="s">
        <v>54</v>
      </c>
      <c r="L49" s="23" t="n">
        <v>28500</v>
      </c>
      <c r="M49" s="23" t="n">
        <v>1958</v>
      </c>
      <c r="N49" s="23" t="n">
        <v>7</v>
      </c>
      <c r="O49" s="23" t="n">
        <v>17</v>
      </c>
      <c r="P49" s="23" t="n">
        <v>117.24</v>
      </c>
      <c r="Q49" s="24" t="n">
        <v>21427700000000</v>
      </c>
      <c r="R49" s="23" t="n">
        <v>78.5</v>
      </c>
      <c r="S49" s="23" t="n">
        <v>9.6</v>
      </c>
      <c r="T49" s="23" t="n">
        <v>36.6</v>
      </c>
      <c r="U49" s="23" t="n">
        <v>328239523</v>
      </c>
      <c r="V49" s="33" t="n">
        <f aca="false">YEARFRAC(W49,X49,1)</f>
        <v>67.5133322752163</v>
      </c>
      <c r="W49" s="26" t="n">
        <f aca="false">DATE(M49,N49,O49)</f>
        <v>21383</v>
      </c>
      <c r="X49" s="26" t="n">
        <f aca="true">TODAY()</f>
        <v>46042</v>
      </c>
    </row>
    <row r="50" customFormat="false" ht="15" hidden="false" customHeight="false" outlineLevel="0" collapsed="false">
      <c r="A50" s="23" t="n">
        <v>49</v>
      </c>
      <c r="B50" s="23" t="s">
        <v>62</v>
      </c>
      <c r="C50" s="23" t="s">
        <v>274</v>
      </c>
      <c r="D50" s="23" t="s">
        <v>42</v>
      </c>
      <c r="E50" s="23" t="s">
        <v>275</v>
      </c>
      <c r="F50" s="23" t="s">
        <v>221</v>
      </c>
      <c r="G50" s="23" t="s">
        <v>62</v>
      </c>
      <c r="H50" s="32" t="s">
        <v>45</v>
      </c>
      <c r="I50" s="23" t="s">
        <v>37</v>
      </c>
      <c r="J50" s="23" t="s">
        <v>276</v>
      </c>
      <c r="K50" s="23" t="s">
        <v>147</v>
      </c>
      <c r="L50" s="23" t="n">
        <v>28100</v>
      </c>
      <c r="M50" s="23" t="n">
        <v>1938</v>
      </c>
      <c r="N50" s="23" t="n">
        <v>4</v>
      </c>
      <c r="O50" s="23" t="n">
        <v>25</v>
      </c>
      <c r="P50" s="23" t="n">
        <v>117.24</v>
      </c>
      <c r="Q50" s="24" t="n">
        <v>21427700000000</v>
      </c>
      <c r="R50" s="23" t="n">
        <v>78.5</v>
      </c>
      <c r="S50" s="23" t="n">
        <v>9.6</v>
      </c>
      <c r="T50" s="23" t="n">
        <v>36.6</v>
      </c>
      <c r="U50" s="23" t="n">
        <v>328239523</v>
      </c>
      <c r="V50" s="33" t="n">
        <f aca="false">YEARFRAC(W50,X50,1)</f>
        <v>87.7405789522257</v>
      </c>
      <c r="W50" s="26" t="n">
        <f aca="false">DATE(M50,N50,O50)</f>
        <v>13995</v>
      </c>
      <c r="X50" s="26" t="n">
        <f aca="true">TODAY()</f>
        <v>46042</v>
      </c>
    </row>
    <row r="51" customFormat="false" ht="15" hidden="false" customHeight="false" outlineLevel="0" collapsed="false">
      <c r="A51" s="23" t="n">
        <v>50</v>
      </c>
      <c r="B51" s="23" t="s">
        <v>62</v>
      </c>
      <c r="C51" s="23" t="s">
        <v>277</v>
      </c>
      <c r="D51" s="23" t="s">
        <v>42</v>
      </c>
      <c r="E51" s="23" t="s">
        <v>77</v>
      </c>
      <c r="F51" s="23" t="s">
        <v>278</v>
      </c>
      <c r="G51" s="23" t="s">
        <v>62</v>
      </c>
      <c r="H51" s="32" t="s">
        <v>45</v>
      </c>
      <c r="I51" s="23" t="s">
        <v>37</v>
      </c>
      <c r="J51" s="23" t="s">
        <v>279</v>
      </c>
      <c r="K51" s="23" t="s">
        <v>280</v>
      </c>
      <c r="L51" s="23" t="n">
        <v>27800</v>
      </c>
      <c r="M51" s="23" t="n">
        <v>1947</v>
      </c>
      <c r="N51" s="23" t="n">
        <v>2</v>
      </c>
      <c r="O51" s="23" t="n">
        <v>14</v>
      </c>
      <c r="P51" s="23" t="n">
        <v>117.24</v>
      </c>
      <c r="Q51" s="24" t="n">
        <v>21427700000000</v>
      </c>
      <c r="R51" s="23" t="n">
        <v>78.5</v>
      </c>
      <c r="S51" s="23" t="n">
        <v>9.6</v>
      </c>
      <c r="T51" s="23" t="n">
        <v>36.6</v>
      </c>
      <c r="U51" s="23" t="n">
        <v>328239523</v>
      </c>
      <c r="V51" s="33" t="n">
        <f aca="false">YEARFRAC(W51,X51,1)</f>
        <v>78.9322381930185</v>
      </c>
      <c r="W51" s="26" t="n">
        <f aca="false">DATE(M51,N51,O51)</f>
        <v>17212</v>
      </c>
      <c r="X51" s="26" t="n">
        <f aca="true">TODAY()</f>
        <v>46042</v>
      </c>
    </row>
    <row r="52" customFormat="false" ht="15" hidden="false" customHeight="false" outlineLevel="0" collapsed="false">
      <c r="A52" s="23" t="n">
        <v>51</v>
      </c>
      <c r="B52" s="23" t="s">
        <v>40</v>
      </c>
      <c r="C52" s="23" t="s">
        <v>281</v>
      </c>
      <c r="D52" s="23" t="s">
        <v>178</v>
      </c>
      <c r="E52" s="23" t="s">
        <v>282</v>
      </c>
      <c r="F52" s="23" t="s">
        <v>283</v>
      </c>
      <c r="G52" s="23" t="s">
        <v>40</v>
      </c>
      <c r="H52" s="32" t="s">
        <v>36</v>
      </c>
      <c r="I52" s="23" t="s">
        <v>103</v>
      </c>
      <c r="J52" s="23" t="s">
        <v>284</v>
      </c>
      <c r="K52" s="23" t="s">
        <v>285</v>
      </c>
      <c r="L52" s="23" t="n">
        <v>27400</v>
      </c>
      <c r="M52" s="23" t="n">
        <v>1962</v>
      </c>
      <c r="N52" s="23" t="n">
        <v>4</v>
      </c>
      <c r="O52" s="23" t="n">
        <v>28</v>
      </c>
      <c r="P52" s="23" t="n">
        <v>112.85</v>
      </c>
      <c r="Q52" s="24" t="n">
        <v>3845630030824</v>
      </c>
      <c r="R52" s="23" t="n">
        <v>80.9</v>
      </c>
      <c r="S52" s="23" t="n">
        <v>11.5</v>
      </c>
      <c r="T52" s="23" t="n">
        <v>48.8</v>
      </c>
      <c r="U52" s="23" t="n">
        <v>83132799</v>
      </c>
      <c r="V52" s="33" t="n">
        <f aca="false">YEARFRAC(W52,X52,1)</f>
        <v>63.7323617370793</v>
      </c>
      <c r="W52" s="26" t="n">
        <f aca="false">DATE(M52,N52,O52)</f>
        <v>22764</v>
      </c>
      <c r="X52" s="26" t="n">
        <f aca="true">TODAY()</f>
        <v>46042</v>
      </c>
    </row>
    <row r="53" customFormat="false" ht="15" hidden="false" customHeight="false" outlineLevel="0" collapsed="false">
      <c r="A53" s="23" t="n">
        <v>52</v>
      </c>
      <c r="B53" s="23" t="s">
        <v>286</v>
      </c>
      <c r="C53" s="23" t="s">
        <v>287</v>
      </c>
      <c r="D53" s="23" t="s">
        <v>288</v>
      </c>
      <c r="E53" s="23" t="s">
        <v>289</v>
      </c>
      <c r="F53" s="23" t="s">
        <v>290</v>
      </c>
      <c r="G53" s="23" t="s">
        <v>286</v>
      </c>
      <c r="H53" s="32" t="s">
        <v>36</v>
      </c>
      <c r="I53" s="23" t="s">
        <v>103</v>
      </c>
      <c r="J53" s="23" t="s">
        <v>291</v>
      </c>
      <c r="K53" s="23" t="s">
        <v>292</v>
      </c>
      <c r="L53" s="23" t="n">
        <v>27000</v>
      </c>
      <c r="M53" s="23" t="n">
        <v>1954</v>
      </c>
      <c r="N53" s="23" t="n">
        <v>2</v>
      </c>
      <c r="O53" s="23" t="n">
        <v>9</v>
      </c>
      <c r="P53" s="23" t="n">
        <v>119.8</v>
      </c>
      <c r="Q53" s="24" t="n">
        <v>1392680589329</v>
      </c>
      <c r="R53" s="23" t="n">
        <v>82.7</v>
      </c>
      <c r="S53" s="23" t="n">
        <v>23</v>
      </c>
      <c r="T53" s="23" t="n">
        <v>47.4</v>
      </c>
      <c r="U53" s="23" t="n">
        <v>25766605</v>
      </c>
      <c r="V53" s="33" t="n">
        <f aca="false">YEARFRAC(W53,X53,1)</f>
        <v>71.945917563665</v>
      </c>
      <c r="W53" s="26" t="n">
        <f aca="false">DATE(M53,N53,O53)</f>
        <v>19764</v>
      </c>
      <c r="X53" s="26" t="n">
        <f aca="true">TODAY()</f>
        <v>46042</v>
      </c>
    </row>
    <row r="54" customFormat="false" ht="15" hidden="false" customHeight="false" outlineLevel="0" collapsed="false">
      <c r="A54" s="23" t="n">
        <v>53</v>
      </c>
      <c r="B54" s="23" t="s">
        <v>49</v>
      </c>
      <c r="C54" s="23" t="s">
        <v>293</v>
      </c>
      <c r="D54" s="23" t="s">
        <v>126</v>
      </c>
      <c r="E54" s="23" t="s">
        <v>127</v>
      </c>
      <c r="F54" s="23" t="s">
        <v>294</v>
      </c>
      <c r="G54" s="23" t="s">
        <v>49</v>
      </c>
      <c r="H54" s="32" t="s">
        <v>45</v>
      </c>
      <c r="I54" s="23" t="s">
        <v>37</v>
      </c>
      <c r="J54" s="23" t="s">
        <v>295</v>
      </c>
      <c r="K54" s="23" t="s">
        <v>296</v>
      </c>
      <c r="L54" s="23" t="n">
        <v>26700</v>
      </c>
      <c r="M54" s="23" t="n">
        <v>1971</v>
      </c>
      <c r="N54" s="23" t="n">
        <v>10</v>
      </c>
      <c r="O54" s="23" t="n">
        <v>1</v>
      </c>
      <c r="P54" s="23" t="n">
        <v>125.08</v>
      </c>
      <c r="Q54" s="24" t="n">
        <v>19910000000000</v>
      </c>
      <c r="R54" s="23" t="n">
        <v>77</v>
      </c>
      <c r="S54" s="23" t="n">
        <v>9.4</v>
      </c>
      <c r="T54" s="23" t="n">
        <v>59.2</v>
      </c>
      <c r="U54" s="23" t="n">
        <v>1397715000</v>
      </c>
      <c r="V54" s="33" t="n">
        <f aca="false">YEARFRAC(W54,X54,1)</f>
        <v>54.3052703627652</v>
      </c>
      <c r="W54" s="26" t="n">
        <f aca="false">DATE(M54,N54,O54)</f>
        <v>26207</v>
      </c>
      <c r="X54" s="26" t="n">
        <f aca="true">TODAY()</f>
        <v>46042</v>
      </c>
    </row>
    <row r="55" customFormat="false" ht="15" hidden="false" customHeight="false" outlineLevel="0" collapsed="false">
      <c r="A55" s="23" t="n">
        <v>54</v>
      </c>
      <c r="B55" s="23" t="s">
        <v>286</v>
      </c>
      <c r="C55" s="23" t="s">
        <v>297</v>
      </c>
      <c r="D55" s="23" t="s">
        <v>84</v>
      </c>
      <c r="E55" s="23" t="s">
        <v>85</v>
      </c>
      <c r="F55" s="23" t="s">
        <v>290</v>
      </c>
      <c r="G55" s="23" t="s">
        <v>286</v>
      </c>
      <c r="H55" s="32" t="s">
        <v>36</v>
      </c>
      <c r="I55" s="23" t="s">
        <v>37</v>
      </c>
      <c r="J55" s="23" t="s">
        <v>298</v>
      </c>
      <c r="K55" s="23" t="s">
        <v>299</v>
      </c>
      <c r="L55" s="23" t="n">
        <v>26600</v>
      </c>
      <c r="M55" s="23" t="n">
        <v>1953</v>
      </c>
      <c r="N55" s="23" t="n">
        <v>10</v>
      </c>
      <c r="O55" s="23" t="n">
        <v>26</v>
      </c>
      <c r="P55" s="23" t="n">
        <v>141.54</v>
      </c>
      <c r="Q55" s="24" t="n">
        <v>1258286717125</v>
      </c>
      <c r="R55" s="23" t="n">
        <v>75</v>
      </c>
      <c r="S55" s="23" t="n">
        <v>13.1</v>
      </c>
      <c r="T55" s="23" t="n">
        <v>55.1</v>
      </c>
      <c r="U55" s="23" t="n">
        <v>126014024</v>
      </c>
      <c r="V55" s="33" t="n">
        <f aca="false">YEARFRAC(W55,X55,1)</f>
        <v>72.2367914755069</v>
      </c>
      <c r="W55" s="26" t="n">
        <f aca="false">DATE(M55,N55,O55)</f>
        <v>19658</v>
      </c>
      <c r="X55" s="26" t="n">
        <f aca="true">TODAY()</f>
        <v>46042</v>
      </c>
    </row>
    <row r="56" customFormat="false" ht="15" hidden="false" customHeight="false" outlineLevel="0" collapsed="false">
      <c r="A56" s="23" t="n">
        <v>55</v>
      </c>
      <c r="B56" s="23" t="s">
        <v>49</v>
      </c>
      <c r="C56" s="23" t="s">
        <v>300</v>
      </c>
      <c r="D56" s="23" t="s">
        <v>91</v>
      </c>
      <c r="E56" s="23" t="s">
        <v>301</v>
      </c>
      <c r="F56" s="23" t="s">
        <v>302</v>
      </c>
      <c r="G56" s="23" t="s">
        <v>49</v>
      </c>
      <c r="H56" s="32" t="s">
        <v>45</v>
      </c>
      <c r="I56" s="23" t="s">
        <v>37</v>
      </c>
      <c r="J56" s="23" t="s">
        <v>303</v>
      </c>
      <c r="K56" s="23" t="s">
        <v>304</v>
      </c>
      <c r="L56" s="23" t="n">
        <v>25600</v>
      </c>
      <c r="M56" s="23" t="n">
        <v>1945</v>
      </c>
      <c r="N56" s="23" t="n">
        <v>7</v>
      </c>
      <c r="O56" s="23" t="n">
        <v>18</v>
      </c>
      <c r="P56" s="23" t="n">
        <v>180.44</v>
      </c>
      <c r="Q56" s="24" t="n">
        <v>2611000000000</v>
      </c>
      <c r="R56" s="23" t="n">
        <v>69.4</v>
      </c>
      <c r="S56" s="23" t="n">
        <v>11.2</v>
      </c>
      <c r="T56" s="23" t="n">
        <v>49.7</v>
      </c>
      <c r="U56" s="23" t="n">
        <v>1366417754</v>
      </c>
      <c r="V56" s="33" t="n">
        <f aca="false">YEARFRAC(W56,X56,1)</f>
        <v>80.5105843071786</v>
      </c>
      <c r="W56" s="26" t="n">
        <f aca="false">DATE(M56,N56,O56)</f>
        <v>16636</v>
      </c>
      <c r="X56" s="26" t="n">
        <f aca="true">TODAY()</f>
        <v>46042</v>
      </c>
    </row>
    <row r="57" customFormat="false" ht="15" hidden="false" customHeight="false" outlineLevel="0" collapsed="false">
      <c r="A57" s="23" t="n">
        <v>56</v>
      </c>
      <c r="B57" s="23" t="s">
        <v>305</v>
      </c>
      <c r="C57" s="23" t="s">
        <v>306</v>
      </c>
      <c r="D57" s="23" t="s">
        <v>307</v>
      </c>
      <c r="E57" s="23" t="s">
        <v>308</v>
      </c>
      <c r="F57" s="23" t="s">
        <v>309</v>
      </c>
      <c r="G57" s="23" t="s">
        <v>305</v>
      </c>
      <c r="H57" s="32" t="s">
        <v>45</v>
      </c>
      <c r="I57" s="23" t="s">
        <v>37</v>
      </c>
      <c r="J57" s="23" t="s">
        <v>310</v>
      </c>
      <c r="K57" s="23" t="s">
        <v>311</v>
      </c>
      <c r="L57" s="23" t="n">
        <v>25500</v>
      </c>
      <c r="M57" s="23" t="n">
        <v>1948</v>
      </c>
      <c r="N57" s="23" t="n">
        <v>4</v>
      </c>
      <c r="O57" s="23" t="n">
        <v>17</v>
      </c>
      <c r="P57" s="23" t="n">
        <v>151.18</v>
      </c>
      <c r="Q57" s="24" t="n">
        <v>1119190780753</v>
      </c>
      <c r="R57" s="23" t="n">
        <v>71.5</v>
      </c>
      <c r="S57" s="23" t="n">
        <v>10.2</v>
      </c>
      <c r="T57" s="23" t="n">
        <v>30.1</v>
      </c>
      <c r="U57" s="23" t="n">
        <v>270203917</v>
      </c>
      <c r="V57" s="33" t="n">
        <f aca="false">YEARFRAC(W57,X57,1)</f>
        <v>77.7597643389361</v>
      </c>
      <c r="W57" s="26" t="n">
        <f aca="false">DATE(M57,N57,O57)</f>
        <v>17640</v>
      </c>
      <c r="X57" s="26" t="n">
        <f aca="true">TODAY()</f>
        <v>46042</v>
      </c>
    </row>
    <row r="58" customFormat="false" ht="15" hidden="false" customHeight="false" outlineLevel="0" collapsed="false">
      <c r="A58" s="23" t="n">
        <v>57</v>
      </c>
      <c r="B58" s="23" t="s">
        <v>62</v>
      </c>
      <c r="C58" s="23" t="s">
        <v>312</v>
      </c>
      <c r="D58" s="23" t="s">
        <v>42</v>
      </c>
      <c r="E58" s="23" t="s">
        <v>313</v>
      </c>
      <c r="F58" s="23" t="s">
        <v>314</v>
      </c>
      <c r="G58" s="23" t="s">
        <v>62</v>
      </c>
      <c r="H58" s="32" t="s">
        <v>45</v>
      </c>
      <c r="I58" s="23" t="s">
        <v>37</v>
      </c>
      <c r="J58" s="23" t="s">
        <v>315</v>
      </c>
      <c r="K58" s="23" t="s">
        <v>316</v>
      </c>
      <c r="L58" s="23" t="n">
        <v>25300</v>
      </c>
      <c r="M58" s="23" t="n">
        <v>1944</v>
      </c>
      <c r="N58" s="23" t="n">
        <v>9</v>
      </c>
      <c r="O58" s="23" t="n">
        <v>30</v>
      </c>
      <c r="P58" s="23" t="n">
        <v>117.24</v>
      </c>
      <c r="Q58" s="24" t="n">
        <v>21427700000000</v>
      </c>
      <c r="R58" s="23" t="n">
        <v>78.5</v>
      </c>
      <c r="S58" s="23" t="n">
        <v>9.6</v>
      </c>
      <c r="T58" s="23" t="n">
        <v>36.6</v>
      </c>
      <c r="U58" s="23" t="n">
        <v>328239523</v>
      </c>
      <c r="V58" s="33" t="n">
        <f aca="false">YEARFRAC(W58,X58,1)</f>
        <v>81.3052843383032</v>
      </c>
      <c r="W58" s="26" t="n">
        <f aca="false">DATE(M58,N58,O58)</f>
        <v>16345</v>
      </c>
      <c r="X58" s="26" t="n">
        <f aca="true">TODAY()</f>
        <v>46042</v>
      </c>
    </row>
    <row r="59" customFormat="false" ht="15" hidden="false" customHeight="false" outlineLevel="0" collapsed="false">
      <c r="A59" s="23" t="n">
        <v>58</v>
      </c>
      <c r="B59" s="23" t="s">
        <v>286</v>
      </c>
      <c r="C59" s="23" t="s">
        <v>317</v>
      </c>
      <c r="D59" s="23" t="s">
        <v>318</v>
      </c>
      <c r="E59" s="23" t="s">
        <v>319</v>
      </c>
      <c r="F59" s="23" t="s">
        <v>320</v>
      </c>
      <c r="G59" s="23" t="s">
        <v>286</v>
      </c>
      <c r="H59" s="32" t="s">
        <v>45</v>
      </c>
      <c r="I59" s="23" t="s">
        <v>37</v>
      </c>
      <c r="J59" s="23" t="s">
        <v>321</v>
      </c>
      <c r="K59" s="23" t="s">
        <v>322</v>
      </c>
      <c r="L59" s="23" t="n">
        <v>25200</v>
      </c>
      <c r="M59" s="23" t="n">
        <v>1972</v>
      </c>
      <c r="N59" s="23" t="n">
        <v>3</v>
      </c>
      <c r="O59" s="23" t="n">
        <v>8</v>
      </c>
      <c r="P59" s="23" t="n">
        <v>114.52</v>
      </c>
      <c r="Q59" s="24" t="n">
        <v>421142267938</v>
      </c>
      <c r="R59" s="23" t="n">
        <v>77.8</v>
      </c>
      <c r="S59" s="23" t="n">
        <v>0.1</v>
      </c>
      <c r="T59" s="23" t="n">
        <v>15.9</v>
      </c>
      <c r="U59" s="23" t="n">
        <v>9770529</v>
      </c>
      <c r="V59" s="33" t="n">
        <f aca="false">YEARFRAC(W59,X59,1)</f>
        <v>53.8692816964508</v>
      </c>
      <c r="W59" s="26" t="n">
        <f aca="false">DATE(M59,N59,O59)</f>
        <v>26366</v>
      </c>
      <c r="X59" s="26" t="n">
        <f aca="true">TODAY()</f>
        <v>46042</v>
      </c>
    </row>
    <row r="60" customFormat="false" ht="15" hidden="false" customHeight="false" outlineLevel="0" collapsed="false">
      <c r="A60" s="23" t="n">
        <v>59</v>
      </c>
      <c r="B60" s="23" t="s">
        <v>40</v>
      </c>
      <c r="C60" s="23" t="s">
        <v>323</v>
      </c>
      <c r="D60" s="23" t="s">
        <v>178</v>
      </c>
      <c r="E60" s="23" t="s">
        <v>324</v>
      </c>
      <c r="F60" s="23" t="s">
        <v>325</v>
      </c>
      <c r="G60" s="23" t="s">
        <v>40</v>
      </c>
      <c r="H60" s="32" t="s">
        <v>36</v>
      </c>
      <c r="I60" s="23" t="s">
        <v>37</v>
      </c>
      <c r="J60" s="23" t="s">
        <v>326</v>
      </c>
      <c r="K60" s="23" t="s">
        <v>327</v>
      </c>
      <c r="L60" s="23" t="n">
        <v>24600</v>
      </c>
      <c r="M60" s="23" t="n">
        <v>1966</v>
      </c>
      <c r="N60" s="23" t="n">
        <v>5</v>
      </c>
      <c r="O60" s="23" t="n">
        <v>9</v>
      </c>
      <c r="P60" s="23" t="n">
        <v>112.85</v>
      </c>
      <c r="Q60" s="24" t="n">
        <v>3845630030824</v>
      </c>
      <c r="R60" s="23" t="n">
        <v>80.9</v>
      </c>
      <c r="S60" s="23" t="n">
        <v>11.5</v>
      </c>
      <c r="T60" s="23" t="n">
        <v>48.8</v>
      </c>
      <c r="U60" s="23" t="n">
        <v>83132799</v>
      </c>
      <c r="V60" s="33" t="n">
        <f aca="false">YEARFRAC(W60,X60,1)</f>
        <v>59.7022441651706</v>
      </c>
      <c r="W60" s="26" t="n">
        <f aca="false">DATE(M60,N60,O60)</f>
        <v>24236</v>
      </c>
      <c r="X60" s="26" t="n">
        <f aca="true">TODAY()</f>
        <v>46042</v>
      </c>
    </row>
    <row r="61" customFormat="false" ht="15" hidden="false" customHeight="false" outlineLevel="0" collapsed="false">
      <c r="A61" s="23" t="n">
        <v>60</v>
      </c>
      <c r="B61" s="23" t="s">
        <v>49</v>
      </c>
      <c r="C61" s="23" t="s">
        <v>328</v>
      </c>
      <c r="D61" s="23" t="s">
        <v>42</v>
      </c>
      <c r="E61" s="23" t="s">
        <v>329</v>
      </c>
      <c r="F61" s="23" t="s">
        <v>52</v>
      </c>
      <c r="G61" s="23" t="s">
        <v>49</v>
      </c>
      <c r="H61" s="32" t="s">
        <v>36</v>
      </c>
      <c r="I61" s="23" t="s">
        <v>103</v>
      </c>
      <c r="J61" s="23" t="s">
        <v>330</v>
      </c>
      <c r="K61" s="23" t="s">
        <v>331</v>
      </c>
      <c r="L61" s="23" t="n">
        <v>24400</v>
      </c>
      <c r="M61" s="23" t="n">
        <v>1970</v>
      </c>
      <c r="N61" s="23" t="n">
        <v>4</v>
      </c>
      <c r="O61" s="23" t="n">
        <v>7</v>
      </c>
      <c r="P61" s="23" t="n">
        <v>117.24</v>
      </c>
      <c r="Q61" s="24" t="n">
        <v>21427700000000</v>
      </c>
      <c r="R61" s="23" t="n">
        <v>78.5</v>
      </c>
      <c r="S61" s="23" t="n">
        <v>9.6</v>
      </c>
      <c r="T61" s="23" t="n">
        <v>36.6</v>
      </c>
      <c r="U61" s="23" t="n">
        <v>328239523</v>
      </c>
      <c r="V61" s="33" t="n">
        <f aca="false">YEARFRAC(W61,X61,1)</f>
        <v>55.7898554205293</v>
      </c>
      <c r="W61" s="26" t="n">
        <f aca="false">DATE(M61,N61,O61)</f>
        <v>25665</v>
      </c>
      <c r="X61" s="26" t="n">
        <f aca="true">TODAY()</f>
        <v>46042</v>
      </c>
    </row>
    <row r="62" customFormat="false" ht="15" hidden="false" customHeight="false" outlineLevel="0" collapsed="false">
      <c r="A62" s="23" t="n">
        <v>61</v>
      </c>
      <c r="B62" s="23" t="s">
        <v>62</v>
      </c>
      <c r="C62" s="23" t="s">
        <v>332</v>
      </c>
      <c r="D62" s="23" t="s">
        <v>307</v>
      </c>
      <c r="E62" s="23" t="s">
        <v>333</v>
      </c>
      <c r="F62" s="23" t="s">
        <v>334</v>
      </c>
      <c r="G62" s="23" t="s">
        <v>62</v>
      </c>
      <c r="H62" s="32" t="s">
        <v>36</v>
      </c>
      <c r="I62" s="23" t="s">
        <v>37</v>
      </c>
      <c r="J62" s="23" t="s">
        <v>335</v>
      </c>
      <c r="K62" s="23" t="s">
        <v>336</v>
      </c>
      <c r="L62" s="23" t="n">
        <v>24200</v>
      </c>
      <c r="M62" s="23" t="n">
        <v>1941</v>
      </c>
      <c r="N62" s="23" t="n">
        <v>1</v>
      </c>
      <c r="O62" s="23" t="n">
        <v>1</v>
      </c>
      <c r="P62" s="23" t="n">
        <v>151.18</v>
      </c>
      <c r="Q62" s="24" t="n">
        <v>1119190780753</v>
      </c>
      <c r="R62" s="23" t="n">
        <v>71.5</v>
      </c>
      <c r="S62" s="23" t="n">
        <v>10.2</v>
      </c>
      <c r="T62" s="23" t="n">
        <v>30.1</v>
      </c>
      <c r="U62" s="23" t="n">
        <v>270203917</v>
      </c>
      <c r="V62" s="33" t="n">
        <f aca="false">YEARFRAC(W62,X62,1)</f>
        <v>85.0526885485976</v>
      </c>
      <c r="W62" s="26" t="n">
        <f aca="false">DATE(M62,N62,O62)</f>
        <v>14977</v>
      </c>
      <c r="X62" s="26" t="n">
        <f aca="true">TODAY()</f>
        <v>46042</v>
      </c>
    </row>
    <row r="63" customFormat="false" ht="15" hidden="false" customHeight="false" outlineLevel="0" collapsed="false">
      <c r="A63" s="23" t="n">
        <v>62</v>
      </c>
      <c r="B63" s="23" t="s">
        <v>286</v>
      </c>
      <c r="C63" s="23" t="s">
        <v>337</v>
      </c>
      <c r="D63" s="23" t="s">
        <v>338</v>
      </c>
      <c r="E63" s="23" t="s">
        <v>339</v>
      </c>
      <c r="F63" s="23" t="s">
        <v>340</v>
      </c>
      <c r="G63" s="23" t="s">
        <v>286</v>
      </c>
      <c r="H63" s="32" t="s">
        <v>45</v>
      </c>
      <c r="I63" s="23" t="s">
        <v>37</v>
      </c>
      <c r="J63" s="23" t="s">
        <v>341</v>
      </c>
      <c r="K63" s="23" t="s">
        <v>342</v>
      </c>
      <c r="L63" s="23" t="n">
        <v>23700</v>
      </c>
      <c r="M63" s="23" t="n">
        <v>1961</v>
      </c>
      <c r="N63" s="23" t="n">
        <v>1</v>
      </c>
      <c r="O63" s="23" t="n">
        <v>3</v>
      </c>
      <c r="P63" s="23" t="n">
        <v>180.75</v>
      </c>
      <c r="Q63" s="24" t="n">
        <v>1699876578871</v>
      </c>
      <c r="R63" s="23" t="n">
        <v>72.7</v>
      </c>
      <c r="S63" s="23" t="n">
        <v>11.4</v>
      </c>
      <c r="T63" s="23" t="n">
        <v>46.2</v>
      </c>
      <c r="U63" s="23" t="n">
        <v>144373535</v>
      </c>
      <c r="V63" s="33" t="n">
        <f aca="false">YEARFRAC(W63,X63,1)</f>
        <v>65.0472081639426</v>
      </c>
      <c r="W63" s="26" t="n">
        <f aca="false">DATE(M63,N63,O63)</f>
        <v>22284</v>
      </c>
      <c r="X63" s="26" t="n">
        <f aca="true">TODAY()</f>
        <v>46042</v>
      </c>
    </row>
    <row r="64" customFormat="false" ht="15" hidden="false" customHeight="false" outlineLevel="0" collapsed="false">
      <c r="A64" s="23" t="n">
        <v>63</v>
      </c>
      <c r="B64" s="23" t="s">
        <v>49</v>
      </c>
      <c r="C64" s="23" t="s">
        <v>343</v>
      </c>
      <c r="D64" s="23" t="s">
        <v>126</v>
      </c>
      <c r="E64" s="23" t="s">
        <v>127</v>
      </c>
      <c r="F64" s="23" t="s">
        <v>261</v>
      </c>
      <c r="G64" s="23" t="s">
        <v>49</v>
      </c>
      <c r="H64" s="32" t="s">
        <v>45</v>
      </c>
      <c r="I64" s="23" t="s">
        <v>37</v>
      </c>
      <c r="J64" s="23" t="s">
        <v>211</v>
      </c>
      <c r="K64" s="23" t="s">
        <v>344</v>
      </c>
      <c r="L64" s="23" t="n">
        <v>23500</v>
      </c>
      <c r="M64" s="23" t="n">
        <v>1964</v>
      </c>
      <c r="N64" s="23" t="n">
        <v>9</v>
      </c>
      <c r="O64" s="23" t="n">
        <v>10</v>
      </c>
      <c r="P64" s="23" t="n">
        <v>125.08</v>
      </c>
      <c r="Q64" s="24" t="n">
        <v>19910000000000</v>
      </c>
      <c r="R64" s="23" t="n">
        <v>77</v>
      </c>
      <c r="S64" s="23" t="n">
        <v>9.4</v>
      </c>
      <c r="T64" s="23" t="n">
        <v>59.2</v>
      </c>
      <c r="U64" s="23" t="n">
        <v>1397715000</v>
      </c>
      <c r="V64" s="33" t="n">
        <f aca="false">YEARFRAC(W64,X64,1)</f>
        <v>61.3600451957759</v>
      </c>
      <c r="W64" s="26" t="n">
        <f aca="false">DATE(M64,N64,O64)</f>
        <v>23630</v>
      </c>
      <c r="X64" s="26" t="n">
        <f aca="true">TODAY()</f>
        <v>46042</v>
      </c>
    </row>
    <row r="65" customFormat="false" ht="15" hidden="false" customHeight="false" outlineLevel="0" collapsed="false">
      <c r="A65" s="23" t="n">
        <v>64</v>
      </c>
      <c r="B65" s="23" t="s">
        <v>264</v>
      </c>
      <c r="C65" s="23" t="s">
        <v>345</v>
      </c>
      <c r="D65" s="23" t="s">
        <v>126</v>
      </c>
      <c r="E65" s="23" t="s">
        <v>346</v>
      </c>
      <c r="F65" s="23" t="s">
        <v>347</v>
      </c>
      <c r="G65" s="23" t="s">
        <v>264</v>
      </c>
      <c r="H65" s="32" t="s">
        <v>45</v>
      </c>
      <c r="I65" s="23" t="s">
        <v>37</v>
      </c>
      <c r="J65" s="23" t="s">
        <v>348</v>
      </c>
      <c r="K65" s="23" t="s">
        <v>349</v>
      </c>
      <c r="L65" s="23" t="n">
        <v>23400</v>
      </c>
      <c r="M65" s="23" t="n">
        <v>1942</v>
      </c>
      <c r="N65" s="23" t="n">
        <v>8</v>
      </c>
      <c r="O65" s="23" t="n">
        <v>11</v>
      </c>
      <c r="P65" s="23" t="n">
        <v>125.08</v>
      </c>
      <c r="Q65" s="24" t="n">
        <v>19910000000000</v>
      </c>
      <c r="R65" s="23" t="n">
        <v>77</v>
      </c>
      <c r="S65" s="23" t="n">
        <v>9.4</v>
      </c>
      <c r="T65" s="23" t="n">
        <v>59.2</v>
      </c>
      <c r="U65" s="23" t="n">
        <v>1397715000</v>
      </c>
      <c r="V65" s="33" t="n">
        <f aca="false">YEARFRAC(W65,X65,1)</f>
        <v>83.4448882303678</v>
      </c>
      <c r="W65" s="26" t="n">
        <f aca="false">DATE(M65,N65,O65)</f>
        <v>15564</v>
      </c>
      <c r="X65" s="26" t="n">
        <f aca="true">TODAY()</f>
        <v>46042</v>
      </c>
    </row>
    <row r="66" customFormat="false" ht="15" hidden="false" customHeight="false" outlineLevel="0" collapsed="false">
      <c r="A66" s="23" t="n">
        <v>65</v>
      </c>
      <c r="B66" s="23" t="s">
        <v>286</v>
      </c>
      <c r="C66" s="23" t="s">
        <v>350</v>
      </c>
      <c r="D66" s="23" t="s">
        <v>351</v>
      </c>
      <c r="E66" s="23" t="s">
        <v>352</v>
      </c>
      <c r="F66" s="23" t="s">
        <v>290</v>
      </c>
      <c r="G66" s="23" t="s">
        <v>286</v>
      </c>
      <c r="H66" s="32" t="s">
        <v>36</v>
      </c>
      <c r="I66" s="23" t="s">
        <v>103</v>
      </c>
      <c r="J66" s="23" t="s">
        <v>353</v>
      </c>
      <c r="K66" s="23" t="s">
        <v>354</v>
      </c>
      <c r="L66" s="23" t="n">
        <v>23100</v>
      </c>
      <c r="M66" s="23" t="n">
        <v>1943</v>
      </c>
      <c r="N66" s="23" t="n">
        <v>1</v>
      </c>
      <c r="O66" s="23" t="n">
        <v>1</v>
      </c>
      <c r="P66" s="23" t="n">
        <v>131.91</v>
      </c>
      <c r="Q66" s="24" t="n">
        <v>282318159745</v>
      </c>
      <c r="R66" s="23" t="n">
        <v>80</v>
      </c>
      <c r="S66" s="23" t="n">
        <v>18.2</v>
      </c>
      <c r="T66" s="23" t="n">
        <v>34</v>
      </c>
      <c r="U66" s="23" t="n">
        <v>18952038</v>
      </c>
      <c r="V66" s="33" t="n">
        <f aca="false">YEARFRAC(W66,X66,1)</f>
        <v>83.0527036276523</v>
      </c>
      <c r="W66" s="26" t="n">
        <f aca="false">DATE(M66,N66,O66)</f>
        <v>15707</v>
      </c>
      <c r="X66" s="26" t="n">
        <f aca="true">TODAY()</f>
        <v>46042</v>
      </c>
    </row>
    <row r="67" customFormat="false" ht="15" hidden="false" customHeight="false" outlineLevel="0" collapsed="false">
      <c r="A67" s="23" t="n">
        <v>65</v>
      </c>
      <c r="B67" s="23" t="s">
        <v>264</v>
      </c>
      <c r="C67" s="23" t="s">
        <v>355</v>
      </c>
      <c r="D67" s="23" t="s">
        <v>307</v>
      </c>
      <c r="E67" s="23" t="s">
        <v>333</v>
      </c>
      <c r="F67" s="23" t="s">
        <v>334</v>
      </c>
      <c r="G67" s="23" t="s">
        <v>264</v>
      </c>
      <c r="H67" s="32" t="s">
        <v>36</v>
      </c>
      <c r="I67" s="23" t="s">
        <v>37</v>
      </c>
      <c r="J67" s="23" t="s">
        <v>335</v>
      </c>
      <c r="K67" s="23" t="s">
        <v>80</v>
      </c>
      <c r="L67" s="23" t="n">
        <v>23100</v>
      </c>
      <c r="M67" s="23" t="n">
        <v>1939</v>
      </c>
      <c r="N67" s="23" t="n">
        <v>10</v>
      </c>
      <c r="O67" s="23" t="n">
        <v>2</v>
      </c>
      <c r="P67" s="23" t="n">
        <v>151.18</v>
      </c>
      <c r="Q67" s="24" t="n">
        <v>1119190780753</v>
      </c>
      <c r="R67" s="23" t="n">
        <v>71.5</v>
      </c>
      <c r="S67" s="23" t="n">
        <v>10.2</v>
      </c>
      <c r="T67" s="23" t="n">
        <v>30.1</v>
      </c>
      <c r="U67" s="23" t="n">
        <v>270203917</v>
      </c>
      <c r="V67" s="33" t="n">
        <f aca="false">YEARFRAC(W67,X67,1)</f>
        <v>86.3025325119781</v>
      </c>
      <c r="W67" s="26" t="n">
        <f aca="false">DATE(M67,N67,O67)</f>
        <v>14520</v>
      </c>
      <c r="X67" s="26" t="n">
        <f aca="true">TODAY()</f>
        <v>46042</v>
      </c>
    </row>
    <row r="68" customFormat="false" ht="15" hidden="false" customHeight="false" outlineLevel="0" collapsed="false">
      <c r="A68" s="23" t="n">
        <v>67</v>
      </c>
      <c r="B68" s="23" t="s">
        <v>264</v>
      </c>
      <c r="C68" s="23" t="s">
        <v>356</v>
      </c>
      <c r="D68" s="23" t="s">
        <v>241</v>
      </c>
      <c r="E68" s="23" t="s">
        <v>242</v>
      </c>
      <c r="F68" s="23" t="s">
        <v>357</v>
      </c>
      <c r="G68" s="23" t="s">
        <v>264</v>
      </c>
      <c r="H68" s="32" t="s">
        <v>45</v>
      </c>
      <c r="I68" s="23" t="s">
        <v>37</v>
      </c>
      <c r="J68" s="23" t="s">
        <v>358</v>
      </c>
      <c r="K68" s="23" t="s">
        <v>359</v>
      </c>
      <c r="L68" s="23" t="n">
        <v>22900</v>
      </c>
      <c r="M68" s="23" t="n">
        <v>1953</v>
      </c>
      <c r="N68" s="23" t="n">
        <v>1</v>
      </c>
      <c r="O68" s="23" t="n">
        <v>1</v>
      </c>
      <c r="P68" s="23" t="n">
        <v>119.62</v>
      </c>
      <c r="Q68" s="24" t="n">
        <v>2827113184696</v>
      </c>
      <c r="R68" s="23" t="n">
        <v>81.3</v>
      </c>
      <c r="S68" s="23" t="n">
        <v>25.5</v>
      </c>
      <c r="T68" s="23" t="n">
        <v>30.6</v>
      </c>
      <c r="U68" s="23" t="n">
        <v>66834405</v>
      </c>
      <c r="V68" s="33" t="n">
        <f aca="false">YEARFRAC(W68,X68,1)</f>
        <v>73.0526861033003</v>
      </c>
      <c r="W68" s="26" t="n">
        <f aca="false">DATE(M68,N68,O68)</f>
        <v>19360</v>
      </c>
      <c r="X68" s="26" t="n">
        <f aca="true">TODAY()</f>
        <v>46042</v>
      </c>
    </row>
    <row r="69" customFormat="false" ht="15" hidden="false" customHeight="false" outlineLevel="0" collapsed="false">
      <c r="A69" s="23" t="n">
        <v>68</v>
      </c>
      <c r="B69" s="23" t="s">
        <v>360</v>
      </c>
      <c r="C69" s="23" t="s">
        <v>361</v>
      </c>
      <c r="D69" s="23" t="s">
        <v>91</v>
      </c>
      <c r="E69" s="23" t="s">
        <v>362</v>
      </c>
      <c r="F69" s="23" t="s">
        <v>363</v>
      </c>
      <c r="G69" s="23" t="s">
        <v>360</v>
      </c>
      <c r="H69" s="32" t="s">
        <v>36</v>
      </c>
      <c r="I69" s="23" t="s">
        <v>37</v>
      </c>
      <c r="J69" s="23" t="s">
        <v>364</v>
      </c>
      <c r="K69" s="23" t="s">
        <v>365</v>
      </c>
      <c r="L69" s="23" t="n">
        <v>22600</v>
      </c>
      <c r="M69" s="23" t="n">
        <v>1941</v>
      </c>
      <c r="N69" s="23" t="n">
        <v>5</v>
      </c>
      <c r="O69" s="23" t="n">
        <v>11</v>
      </c>
      <c r="P69" s="23" t="n">
        <v>180.44</v>
      </c>
      <c r="Q69" s="24" t="n">
        <v>2611000000000</v>
      </c>
      <c r="R69" s="23" t="n">
        <v>69.4</v>
      </c>
      <c r="S69" s="23" t="n">
        <v>11.2</v>
      </c>
      <c r="T69" s="23" t="n">
        <v>49.7</v>
      </c>
      <c r="U69" s="23" t="n">
        <v>1366417754</v>
      </c>
      <c r="V69" s="33" t="n">
        <f aca="false">YEARFRAC(W69,X69,1)</f>
        <v>84.6967622807297</v>
      </c>
      <c r="W69" s="26" t="n">
        <f aca="false">DATE(M69,N69,O69)</f>
        <v>15107</v>
      </c>
      <c r="X69" s="26" t="n">
        <f aca="true">TODAY()</f>
        <v>46042</v>
      </c>
    </row>
    <row r="70" customFormat="false" ht="15" hidden="false" customHeight="false" outlineLevel="0" collapsed="false">
      <c r="A70" s="23" t="n">
        <v>69</v>
      </c>
      <c r="B70" s="23" t="s">
        <v>82</v>
      </c>
      <c r="C70" s="23" t="s">
        <v>366</v>
      </c>
      <c r="D70" s="23" t="s">
        <v>235</v>
      </c>
      <c r="E70" s="23" t="s">
        <v>236</v>
      </c>
      <c r="F70" s="23" t="s">
        <v>367</v>
      </c>
      <c r="G70" s="23" t="s">
        <v>82</v>
      </c>
      <c r="H70" s="32" t="s">
        <v>45</v>
      </c>
      <c r="I70" s="23" t="s">
        <v>37</v>
      </c>
      <c r="J70" s="23" t="s">
        <v>368</v>
      </c>
      <c r="K70" s="23" t="s">
        <v>369</v>
      </c>
      <c r="L70" s="23" t="n">
        <v>22400</v>
      </c>
      <c r="M70" s="23" t="n">
        <v>1957</v>
      </c>
      <c r="N70" s="23" t="n">
        <v>8</v>
      </c>
      <c r="O70" s="23" t="n">
        <v>11</v>
      </c>
      <c r="P70" s="23" t="n">
        <v>105.48</v>
      </c>
      <c r="Q70" s="24" t="n">
        <v>5081769542380</v>
      </c>
      <c r="R70" s="23" t="n">
        <v>84.2</v>
      </c>
      <c r="S70" s="23" t="n">
        <v>11.9</v>
      </c>
      <c r="T70" s="23" t="n">
        <v>46.7</v>
      </c>
      <c r="U70" s="23" t="n">
        <v>126226568</v>
      </c>
      <c r="V70" s="33" t="n">
        <f aca="false">YEARFRAC(W70,X70,1)</f>
        <v>68.4448703406735</v>
      </c>
      <c r="W70" s="26" t="n">
        <f aca="false">DATE(M70,N70,O70)</f>
        <v>21043</v>
      </c>
      <c r="X70" s="26" t="n">
        <f aca="true">TODAY()</f>
        <v>46042</v>
      </c>
    </row>
    <row r="71" customFormat="false" ht="15" hidden="false" customHeight="false" outlineLevel="0" collapsed="false">
      <c r="A71" s="23" t="n">
        <v>70</v>
      </c>
      <c r="B71" s="23" t="s">
        <v>286</v>
      </c>
      <c r="C71" s="23" t="s">
        <v>370</v>
      </c>
      <c r="D71" s="23" t="s">
        <v>338</v>
      </c>
      <c r="E71" s="23" t="s">
        <v>339</v>
      </c>
      <c r="F71" s="23" t="s">
        <v>371</v>
      </c>
      <c r="G71" s="23" t="s">
        <v>286</v>
      </c>
      <c r="H71" s="32" t="s">
        <v>45</v>
      </c>
      <c r="I71" s="23" t="s">
        <v>37</v>
      </c>
      <c r="J71" s="23" t="s">
        <v>372</v>
      </c>
      <c r="K71" s="23" t="s">
        <v>342</v>
      </c>
      <c r="L71" s="23" t="n">
        <v>22100</v>
      </c>
      <c r="M71" s="23" t="n">
        <v>1956</v>
      </c>
      <c r="N71" s="23" t="n">
        <v>5</v>
      </c>
      <c r="O71" s="23" t="n">
        <v>7</v>
      </c>
      <c r="P71" s="23" t="n">
        <v>180.75</v>
      </c>
      <c r="Q71" s="24" t="n">
        <v>1699876578871</v>
      </c>
      <c r="R71" s="23" t="n">
        <v>72.7</v>
      </c>
      <c r="S71" s="23" t="n">
        <v>11.4</v>
      </c>
      <c r="T71" s="23" t="n">
        <v>46.2</v>
      </c>
      <c r="U71" s="23" t="n">
        <v>144373535</v>
      </c>
      <c r="V71" s="33" t="n">
        <f aca="false">YEARFRAC(W71,X71,1)</f>
        <v>69.7050090618131</v>
      </c>
      <c r="W71" s="26" t="n">
        <f aca="false">DATE(M71,N71,O71)</f>
        <v>20582</v>
      </c>
      <c r="X71" s="26" t="n">
        <f aca="true">TODAY()</f>
        <v>46042</v>
      </c>
    </row>
    <row r="72" customFormat="false" ht="15" hidden="false" customHeight="false" outlineLevel="0" collapsed="false">
      <c r="A72" s="23" t="n">
        <v>71</v>
      </c>
      <c r="B72" s="23" t="s">
        <v>124</v>
      </c>
      <c r="C72" s="23" t="s">
        <v>373</v>
      </c>
      <c r="D72" s="23" t="s">
        <v>33</v>
      </c>
      <c r="E72" s="23" t="s">
        <v>374</v>
      </c>
      <c r="F72" s="23" t="s">
        <v>375</v>
      </c>
      <c r="G72" s="23" t="s">
        <v>124</v>
      </c>
      <c r="H72" s="32" t="s">
        <v>36</v>
      </c>
      <c r="I72" s="23" t="s">
        <v>37</v>
      </c>
      <c r="J72" s="23" t="s">
        <v>376</v>
      </c>
      <c r="K72" s="23" t="s">
        <v>377</v>
      </c>
      <c r="L72" s="23" t="n">
        <v>22000</v>
      </c>
      <c r="M72" s="23" t="n">
        <v>1970</v>
      </c>
      <c r="N72" s="23" t="n">
        <v>9</v>
      </c>
      <c r="O72" s="23" t="n">
        <v>18</v>
      </c>
      <c r="P72" s="23" t="n">
        <v>110.05</v>
      </c>
      <c r="Q72" s="24" t="n">
        <v>2715518274227</v>
      </c>
      <c r="R72" s="23" t="n">
        <v>82.5</v>
      </c>
      <c r="S72" s="23" t="n">
        <v>24.2</v>
      </c>
      <c r="T72" s="23" t="n">
        <v>60.7</v>
      </c>
      <c r="U72" s="23" t="n">
        <v>67059887</v>
      </c>
      <c r="V72" s="33" t="n">
        <f aca="false">YEARFRAC(W72,X72,1)</f>
        <v>55.3408424996398</v>
      </c>
      <c r="W72" s="26" t="n">
        <f aca="false">DATE(M72,N72,O72)</f>
        <v>25829</v>
      </c>
      <c r="X72" s="26" t="n">
        <f aca="true">TODAY()</f>
        <v>46042</v>
      </c>
    </row>
    <row r="73" customFormat="false" ht="15" hidden="false" customHeight="false" outlineLevel="0" collapsed="false">
      <c r="A73" s="23" t="n">
        <v>72</v>
      </c>
      <c r="B73" s="23" t="s">
        <v>62</v>
      </c>
      <c r="C73" s="23" t="s">
        <v>378</v>
      </c>
      <c r="D73" s="23" t="s">
        <v>42</v>
      </c>
      <c r="E73" s="23" t="s">
        <v>379</v>
      </c>
      <c r="F73" s="23" t="s">
        <v>380</v>
      </c>
      <c r="G73" s="23" t="s">
        <v>62</v>
      </c>
      <c r="H73" s="32" t="s">
        <v>36</v>
      </c>
      <c r="I73" s="23" t="s">
        <v>103</v>
      </c>
      <c r="J73" s="23" t="s">
        <v>381</v>
      </c>
      <c r="K73" s="23" t="s">
        <v>382</v>
      </c>
      <c r="L73" s="23" t="n">
        <v>21600</v>
      </c>
      <c r="M73" s="23" t="n">
        <v>1961</v>
      </c>
      <c r="N73" s="23" t="n">
        <v>12</v>
      </c>
      <c r="O73" s="23" t="n">
        <v>19</v>
      </c>
      <c r="P73" s="23" t="n">
        <v>117.24</v>
      </c>
      <c r="Q73" s="24" t="n">
        <v>21427700000000</v>
      </c>
      <c r="R73" s="23" t="n">
        <v>78.5</v>
      </c>
      <c r="S73" s="23" t="n">
        <v>9.6</v>
      </c>
      <c r="T73" s="23" t="n">
        <v>36.6</v>
      </c>
      <c r="U73" s="23" t="n">
        <v>328239523</v>
      </c>
      <c r="V73" s="33" t="n">
        <f aca="false">YEARFRAC(W73,X73,1)</f>
        <v>64.0889405127354</v>
      </c>
      <c r="W73" s="34" t="n">
        <f aca="false">DATE(M73,N73,O73)</f>
        <v>22634</v>
      </c>
      <c r="X73" s="34" t="n">
        <f aca="true">TODAY()</f>
        <v>46042</v>
      </c>
    </row>
    <row r="74" customFormat="false" ht="15" hidden="false" customHeight="false" outlineLevel="0" collapsed="false">
      <c r="A74" s="23" t="n">
        <v>72</v>
      </c>
      <c r="B74" s="23" t="s">
        <v>305</v>
      </c>
      <c r="C74" s="23" t="s">
        <v>383</v>
      </c>
      <c r="D74" s="23" t="s">
        <v>338</v>
      </c>
      <c r="E74" s="23" t="s">
        <v>339</v>
      </c>
      <c r="F74" s="23" t="s">
        <v>384</v>
      </c>
      <c r="G74" s="23" t="s">
        <v>305</v>
      </c>
      <c r="H74" s="32" t="s">
        <v>45</v>
      </c>
      <c r="I74" s="23" t="s">
        <v>37</v>
      </c>
      <c r="J74" s="23" t="s">
        <v>385</v>
      </c>
      <c r="K74" s="23" t="s">
        <v>386</v>
      </c>
      <c r="L74" s="23" t="n">
        <v>21600</v>
      </c>
      <c r="M74" s="23" t="n">
        <v>1955</v>
      </c>
      <c r="N74" s="23" t="n">
        <v>8</v>
      </c>
      <c r="O74" s="23" t="n">
        <v>11</v>
      </c>
      <c r="P74" s="23" t="n">
        <v>180.75</v>
      </c>
      <c r="Q74" s="24" t="n">
        <v>1699876578871</v>
      </c>
      <c r="R74" s="23" t="n">
        <v>72.7</v>
      </c>
      <c r="S74" s="23" t="n">
        <v>11.4</v>
      </c>
      <c r="T74" s="23" t="n">
        <v>46.2</v>
      </c>
      <c r="U74" s="23" t="n">
        <v>144373535</v>
      </c>
      <c r="V74" s="33" t="n">
        <f aca="false">YEARFRAC(W74,X74,1)</f>
        <v>70.444900752909</v>
      </c>
      <c r="W74" s="34" t="n">
        <f aca="false">DATE(M74,N74,O74)</f>
        <v>20312</v>
      </c>
      <c r="X74" s="34" t="n">
        <f aca="true">TODAY()</f>
        <v>46042</v>
      </c>
    </row>
    <row r="75" customFormat="false" ht="15" hidden="false" customHeight="false" outlineLevel="0" collapsed="false">
      <c r="A75" s="23" t="n">
        <v>74</v>
      </c>
      <c r="B75" s="23" t="s">
        <v>31</v>
      </c>
      <c r="C75" s="23" t="s">
        <v>387</v>
      </c>
      <c r="D75" s="23" t="s">
        <v>42</v>
      </c>
      <c r="E75" s="23" t="s">
        <v>388</v>
      </c>
      <c r="F75" s="23" t="s">
        <v>145</v>
      </c>
      <c r="G75" s="23" t="s">
        <v>31</v>
      </c>
      <c r="H75" s="32" t="s">
        <v>36</v>
      </c>
      <c r="I75" s="23" t="s">
        <v>37</v>
      </c>
      <c r="J75" s="23" t="s">
        <v>146</v>
      </c>
      <c r="K75" s="23" t="s">
        <v>389</v>
      </c>
      <c r="L75" s="23" t="n">
        <v>21200</v>
      </c>
      <c r="M75" s="23" t="n">
        <v>1986</v>
      </c>
      <c r="N75" s="23" t="n">
        <v>9</v>
      </c>
      <c r="O75" s="23" t="n">
        <v>19</v>
      </c>
      <c r="P75" s="23" t="n">
        <v>117.24</v>
      </c>
      <c r="Q75" s="24" t="n">
        <v>21427700000000</v>
      </c>
      <c r="R75" s="23" t="n">
        <v>78.5</v>
      </c>
      <c r="S75" s="23" t="n">
        <v>9.6</v>
      </c>
      <c r="T75" s="23" t="n">
        <v>36.6</v>
      </c>
      <c r="U75" s="23" t="n">
        <v>328239523</v>
      </c>
      <c r="V75" s="33" t="n">
        <f aca="false">YEARFRAC(W75,X75,1)</f>
        <v>39.3380968280467</v>
      </c>
      <c r="W75" s="34" t="n">
        <f aca="false">DATE(M75,N75,O75)</f>
        <v>31674</v>
      </c>
      <c r="X75" s="34" t="n">
        <f aca="true">TODAY()</f>
        <v>46042</v>
      </c>
    </row>
    <row r="76" customFormat="false" ht="15" hidden="false" customHeight="false" outlineLevel="0" collapsed="false">
      <c r="A76" s="23" t="n">
        <v>74</v>
      </c>
      <c r="B76" s="23" t="s">
        <v>390</v>
      </c>
      <c r="C76" s="23" t="s">
        <v>391</v>
      </c>
      <c r="D76" s="23" t="s">
        <v>126</v>
      </c>
      <c r="E76" s="23" t="s">
        <v>209</v>
      </c>
      <c r="F76" s="23" t="s">
        <v>392</v>
      </c>
      <c r="G76" s="23" t="s">
        <v>390</v>
      </c>
      <c r="H76" s="32" t="s">
        <v>45</v>
      </c>
      <c r="I76" s="23" t="s">
        <v>37</v>
      </c>
      <c r="J76" s="23" t="s">
        <v>393</v>
      </c>
      <c r="K76" s="23" t="s">
        <v>394</v>
      </c>
      <c r="L76" s="23" t="n">
        <v>21200</v>
      </c>
      <c r="M76" s="23" t="n">
        <v>1970</v>
      </c>
      <c r="N76" s="23" t="n">
        <v>10</v>
      </c>
      <c r="O76" s="23" t="n">
        <v>1</v>
      </c>
      <c r="P76" s="23" t="n">
        <v>125.08</v>
      </c>
      <c r="Q76" s="24" t="n">
        <v>19910000000000</v>
      </c>
      <c r="R76" s="23" t="n">
        <v>77</v>
      </c>
      <c r="S76" s="23" t="n">
        <v>9.4</v>
      </c>
      <c r="T76" s="23" t="n">
        <v>59.2</v>
      </c>
      <c r="U76" s="23" t="n">
        <v>1397715000</v>
      </c>
      <c r="V76" s="33" t="n">
        <f aca="false">YEARFRAC(W76,X76,1)</f>
        <v>55.3052500120083</v>
      </c>
      <c r="W76" s="34" t="n">
        <f aca="false">DATE(M76,N76,O76)</f>
        <v>25842</v>
      </c>
      <c r="X76" s="34" t="n">
        <f aca="true">TODAY()</f>
        <v>46042</v>
      </c>
    </row>
    <row r="77" customFormat="false" ht="15" hidden="false" customHeight="false" outlineLevel="0" collapsed="false">
      <c r="A77" s="23" t="n">
        <v>76</v>
      </c>
      <c r="B77" s="23" t="s">
        <v>49</v>
      </c>
      <c r="C77" s="23" t="s">
        <v>395</v>
      </c>
      <c r="D77" s="23" t="s">
        <v>42</v>
      </c>
      <c r="E77" s="23" t="s">
        <v>120</v>
      </c>
      <c r="F77" s="23" t="s">
        <v>396</v>
      </c>
      <c r="G77" s="23" t="s">
        <v>49</v>
      </c>
      <c r="H77" s="32" t="s">
        <v>45</v>
      </c>
      <c r="I77" s="23" t="s">
        <v>37</v>
      </c>
      <c r="J77" s="23" t="s">
        <v>262</v>
      </c>
      <c r="K77" s="23" t="s">
        <v>397</v>
      </c>
      <c r="L77" s="23" t="n">
        <v>21100</v>
      </c>
      <c r="M77" s="23" t="n">
        <v>1963</v>
      </c>
      <c r="N77" s="23" t="n">
        <v>2</v>
      </c>
      <c r="O77" s="23" t="n">
        <v>17</v>
      </c>
      <c r="P77" s="23" t="n">
        <v>117.24</v>
      </c>
      <c r="Q77" s="24" t="n">
        <v>21427700000000</v>
      </c>
      <c r="R77" s="23" t="n">
        <v>78.5</v>
      </c>
      <c r="S77" s="23" t="n">
        <v>9.6</v>
      </c>
      <c r="T77" s="23" t="n">
        <v>36.6</v>
      </c>
      <c r="U77" s="23" t="n">
        <v>328239523</v>
      </c>
      <c r="V77" s="33" t="n">
        <f aca="false">YEARFRAC(W77,X77,1)</f>
        <v>62.9240246406571</v>
      </c>
      <c r="W77" s="34" t="n">
        <f aca="false">DATE(M77,N77,O77)</f>
        <v>23059</v>
      </c>
      <c r="X77" s="34" t="n">
        <f aca="true">TODAY()</f>
        <v>46042</v>
      </c>
    </row>
    <row r="78" customFormat="false" ht="15" hidden="false" customHeight="false" outlineLevel="0" collapsed="false">
      <c r="A78" s="23" t="n">
        <v>77</v>
      </c>
      <c r="B78" s="23" t="s">
        <v>31</v>
      </c>
      <c r="C78" s="23" t="s">
        <v>398</v>
      </c>
      <c r="D78" s="23" t="s">
        <v>42</v>
      </c>
      <c r="E78" s="23" t="s">
        <v>77</v>
      </c>
      <c r="F78" s="23" t="s">
        <v>399</v>
      </c>
      <c r="G78" s="23" t="s">
        <v>31</v>
      </c>
      <c r="H78" s="32" t="s">
        <v>36</v>
      </c>
      <c r="I78" s="23" t="s">
        <v>37</v>
      </c>
      <c r="J78" s="23" t="s">
        <v>400</v>
      </c>
      <c r="K78" s="23" t="s">
        <v>401</v>
      </c>
      <c r="L78" s="23" t="n">
        <v>21000</v>
      </c>
      <c r="M78" s="23" t="n">
        <v>1933</v>
      </c>
      <c r="N78" s="23" t="n">
        <v>3</v>
      </c>
      <c r="O78" s="23" t="n">
        <v>19</v>
      </c>
      <c r="P78" s="23" t="n">
        <v>117.24</v>
      </c>
      <c r="Q78" s="24" t="n">
        <v>21427700000000</v>
      </c>
      <c r="R78" s="23" t="n">
        <v>78.5</v>
      </c>
      <c r="S78" s="23" t="n">
        <v>9.6</v>
      </c>
      <c r="T78" s="23" t="n">
        <v>36.6</v>
      </c>
      <c r="U78" s="23" t="n">
        <v>328239523</v>
      </c>
      <c r="V78" s="33" t="n">
        <f aca="false">YEARFRAC(W78,X78,1)</f>
        <v>92.8418722511869</v>
      </c>
      <c r="W78" s="34" t="n">
        <f aca="false">DATE(M78,N78,O78)</f>
        <v>12132</v>
      </c>
      <c r="X78" s="34" t="n">
        <f aca="true">TODAY()</f>
        <v>46042</v>
      </c>
    </row>
    <row r="79" customFormat="false" ht="15" hidden="false" customHeight="false" outlineLevel="0" collapsed="false">
      <c r="A79" s="23" t="n">
        <v>77</v>
      </c>
      <c r="B79" s="23" t="s">
        <v>264</v>
      </c>
      <c r="C79" s="23" t="s">
        <v>402</v>
      </c>
      <c r="D79" s="23" t="s">
        <v>235</v>
      </c>
      <c r="E79" s="23" t="s">
        <v>403</v>
      </c>
      <c r="F79" s="23" t="s">
        <v>404</v>
      </c>
      <c r="G79" s="23" t="s">
        <v>264</v>
      </c>
      <c r="H79" s="32" t="s">
        <v>45</v>
      </c>
      <c r="I79" s="23" t="s">
        <v>37</v>
      </c>
      <c r="J79" s="23" t="s">
        <v>405</v>
      </c>
      <c r="K79" s="23" t="s">
        <v>406</v>
      </c>
      <c r="L79" s="23" t="n">
        <v>21000</v>
      </c>
      <c r="M79" s="23" t="n">
        <v>1945</v>
      </c>
      <c r="N79" s="23" t="n">
        <v>6</v>
      </c>
      <c r="O79" s="23" t="n">
        <v>10</v>
      </c>
      <c r="P79" s="23" t="n">
        <v>105.48</v>
      </c>
      <c r="Q79" s="24" t="n">
        <v>5081769542380</v>
      </c>
      <c r="R79" s="23" t="n">
        <v>84.2</v>
      </c>
      <c r="S79" s="23" t="n">
        <v>11.9</v>
      </c>
      <c r="T79" s="23" t="n">
        <v>46.7</v>
      </c>
      <c r="U79" s="23" t="n">
        <v>126226568</v>
      </c>
      <c r="V79" s="33" t="n">
        <f aca="false">YEARFRAC(W79,X79,1)</f>
        <v>80.6146243739566</v>
      </c>
      <c r="W79" s="34" t="n">
        <f aca="false">DATE(M79,N79,O79)</f>
        <v>16598</v>
      </c>
      <c r="X79" s="34" t="n">
        <f aca="true">TODAY()</f>
        <v>46042</v>
      </c>
    </row>
    <row r="80" customFormat="false" ht="15" hidden="false" customHeight="false" outlineLevel="0" collapsed="false">
      <c r="A80" s="23" t="n">
        <v>79</v>
      </c>
      <c r="B80" s="23" t="s">
        <v>286</v>
      </c>
      <c r="C80" s="23" t="s">
        <v>407</v>
      </c>
      <c r="D80" s="23" t="s">
        <v>338</v>
      </c>
      <c r="E80" s="23" t="s">
        <v>339</v>
      </c>
      <c r="F80" s="23" t="s">
        <v>408</v>
      </c>
      <c r="G80" s="23" t="s">
        <v>286</v>
      </c>
      <c r="H80" s="32" t="s">
        <v>45</v>
      </c>
      <c r="I80" s="23" t="s">
        <v>37</v>
      </c>
      <c r="J80" s="23" t="s">
        <v>409</v>
      </c>
      <c r="K80" s="23" t="s">
        <v>410</v>
      </c>
      <c r="L80" s="23" t="n">
        <v>20900</v>
      </c>
      <c r="M80" s="23" t="n">
        <v>1965</v>
      </c>
      <c r="N80" s="23" t="n">
        <v>9</v>
      </c>
      <c r="O80" s="23" t="n">
        <v>26</v>
      </c>
      <c r="P80" s="23" t="n">
        <v>180.75</v>
      </c>
      <c r="Q80" s="24" t="n">
        <v>1699876578871</v>
      </c>
      <c r="R80" s="23" t="n">
        <v>72.7</v>
      </c>
      <c r="S80" s="23" t="n">
        <v>11.4</v>
      </c>
      <c r="T80" s="23" t="n">
        <v>46.2</v>
      </c>
      <c r="U80" s="23" t="n">
        <v>144373535</v>
      </c>
      <c r="V80" s="33" t="n">
        <f aca="false">YEARFRAC(W80,X80,1)</f>
        <v>60.318922499448</v>
      </c>
      <c r="W80" s="34" t="n">
        <f aca="false">DATE(M80,N80,O80)</f>
        <v>24011</v>
      </c>
      <c r="X80" s="34" t="n">
        <f aca="true">TODAY()</f>
        <v>46042</v>
      </c>
    </row>
    <row r="81" customFormat="false" ht="15" hidden="false" customHeight="false" outlineLevel="0" collapsed="false">
      <c r="A81" s="23" t="n">
        <v>80</v>
      </c>
      <c r="B81" s="23" t="s">
        <v>305</v>
      </c>
      <c r="C81" s="23" t="s">
        <v>411</v>
      </c>
      <c r="D81" s="23" t="s">
        <v>338</v>
      </c>
      <c r="E81" s="23" t="s">
        <v>339</v>
      </c>
      <c r="F81" s="23" t="s">
        <v>412</v>
      </c>
      <c r="G81" s="23" t="s">
        <v>305</v>
      </c>
      <c r="H81" s="32" t="s">
        <v>45</v>
      </c>
      <c r="I81" s="23" t="s">
        <v>37</v>
      </c>
      <c r="J81" s="23" t="s">
        <v>413</v>
      </c>
      <c r="K81" s="23" t="s">
        <v>414</v>
      </c>
      <c r="L81" s="23" t="n">
        <v>20500</v>
      </c>
      <c r="M81" s="23" t="n">
        <v>1950</v>
      </c>
      <c r="N81" s="23" t="n">
        <v>9</v>
      </c>
      <c r="O81" s="23" t="n">
        <v>1</v>
      </c>
      <c r="P81" s="23" t="n">
        <v>180.75</v>
      </c>
      <c r="Q81" s="24" t="n">
        <v>1699876578871</v>
      </c>
      <c r="R81" s="23" t="n">
        <v>72.7</v>
      </c>
      <c r="S81" s="23" t="n">
        <v>11.4</v>
      </c>
      <c r="T81" s="23" t="n">
        <v>46.2</v>
      </c>
      <c r="U81" s="23" t="n">
        <v>144373535</v>
      </c>
      <c r="V81" s="33" t="n">
        <f aca="false">YEARFRAC(W81,X81,1)</f>
        <v>75.3873915516996</v>
      </c>
      <c r="W81" s="34" t="n">
        <f aca="false">DATE(M81,N81,O81)</f>
        <v>18507</v>
      </c>
      <c r="X81" s="34" t="n">
        <f aca="true">TODAY()</f>
        <v>46042</v>
      </c>
    </row>
    <row r="82" customFormat="false" ht="15" hidden="false" customHeight="false" outlineLevel="0" collapsed="false">
      <c r="A82" s="23" t="n">
        <v>81</v>
      </c>
      <c r="B82" s="23" t="s">
        <v>360</v>
      </c>
      <c r="C82" s="23" t="s">
        <v>415</v>
      </c>
      <c r="D82" s="23" t="s">
        <v>42</v>
      </c>
      <c r="E82" s="23" t="s">
        <v>416</v>
      </c>
      <c r="F82" s="23" t="s">
        <v>417</v>
      </c>
      <c r="G82" s="23" t="s">
        <v>360</v>
      </c>
      <c r="H82" s="32" t="s">
        <v>45</v>
      </c>
      <c r="I82" s="23" t="s">
        <v>37</v>
      </c>
      <c r="J82" s="23" t="s">
        <v>418</v>
      </c>
      <c r="K82" s="23" t="s">
        <v>316</v>
      </c>
      <c r="L82" s="23" t="n">
        <v>20200</v>
      </c>
      <c r="M82" s="23" t="n">
        <v>1938</v>
      </c>
      <c r="N82" s="23" t="n">
        <v>8</v>
      </c>
      <c r="O82" s="23" t="n">
        <v>12</v>
      </c>
      <c r="P82" s="23" t="n">
        <v>117.24</v>
      </c>
      <c r="Q82" s="24" t="n">
        <v>21427700000000</v>
      </c>
      <c r="R82" s="23" t="n">
        <v>78.5</v>
      </c>
      <c r="S82" s="23" t="n">
        <v>9.6</v>
      </c>
      <c r="T82" s="23" t="n">
        <v>36.6</v>
      </c>
      <c r="U82" s="23" t="n">
        <v>328239523</v>
      </c>
      <c r="V82" s="33" t="n">
        <f aca="false">YEARFRAC(W82,X82,1)</f>
        <v>87.44215092134</v>
      </c>
      <c r="W82" s="34" t="n">
        <f aca="false">DATE(M82,N82,O82)</f>
        <v>14104</v>
      </c>
      <c r="X82" s="34" t="n">
        <f aca="true">TODAY()</f>
        <v>46042</v>
      </c>
    </row>
    <row r="83" customFormat="false" ht="15" hidden="false" customHeight="false" outlineLevel="0" collapsed="false">
      <c r="A83" s="23" t="n">
        <v>82</v>
      </c>
      <c r="B83" s="23" t="s">
        <v>286</v>
      </c>
      <c r="C83" s="23" t="s">
        <v>419</v>
      </c>
      <c r="D83" s="23" t="s">
        <v>288</v>
      </c>
      <c r="E83" s="23" t="s">
        <v>289</v>
      </c>
      <c r="F83" s="23" t="s">
        <v>290</v>
      </c>
      <c r="G83" s="23" t="s">
        <v>286</v>
      </c>
      <c r="H83" s="32" t="s">
        <v>45</v>
      </c>
      <c r="I83" s="23" t="s">
        <v>37</v>
      </c>
      <c r="J83" s="23" t="s">
        <v>420</v>
      </c>
      <c r="K83" s="23" t="s">
        <v>421</v>
      </c>
      <c r="L83" s="23" t="n">
        <v>19600</v>
      </c>
      <c r="M83" s="23" t="n">
        <v>1961</v>
      </c>
      <c r="N83" s="23" t="n">
        <v>11</v>
      </c>
      <c r="O83" s="23" t="n">
        <v>18</v>
      </c>
      <c r="P83" s="23" t="n">
        <v>119.8</v>
      </c>
      <c r="Q83" s="24" t="n">
        <v>1392680589329</v>
      </c>
      <c r="R83" s="23" t="n">
        <v>82.7</v>
      </c>
      <c r="S83" s="23" t="n">
        <v>23</v>
      </c>
      <c r="T83" s="23" t="n">
        <v>47.4</v>
      </c>
      <c r="U83" s="23" t="n">
        <v>25766605</v>
      </c>
      <c r="V83" s="33" t="n">
        <f aca="false">YEARFRAC(W83,X83,1)</f>
        <v>64.1738156475566</v>
      </c>
      <c r="W83" s="34" t="n">
        <f aca="false">DATE(M83,N83,O83)</f>
        <v>22603</v>
      </c>
      <c r="X83" s="34" t="n">
        <f aca="true">TODAY()</f>
        <v>46042</v>
      </c>
    </row>
    <row r="84" customFormat="false" ht="15" hidden="false" customHeight="false" outlineLevel="0" collapsed="false">
      <c r="A84" s="23" t="n">
        <v>83</v>
      </c>
      <c r="B84" s="23" t="s">
        <v>62</v>
      </c>
      <c r="C84" s="23" t="s">
        <v>422</v>
      </c>
      <c r="D84" s="23" t="s">
        <v>42</v>
      </c>
      <c r="E84" s="23" t="s">
        <v>423</v>
      </c>
      <c r="F84" s="23" t="s">
        <v>221</v>
      </c>
      <c r="G84" s="23" t="s">
        <v>62</v>
      </c>
      <c r="H84" s="32" t="s">
        <v>45</v>
      </c>
      <c r="I84" s="23" t="s">
        <v>37</v>
      </c>
      <c r="J84" s="23" t="s">
        <v>424</v>
      </c>
      <c r="K84" s="23" t="s">
        <v>425</v>
      </c>
      <c r="L84" s="23" t="n">
        <v>19100</v>
      </c>
      <c r="M84" s="23" t="n">
        <v>1949</v>
      </c>
      <c r="N84" s="23" t="n">
        <v>8</v>
      </c>
      <c r="O84" s="23" t="n">
        <v>8</v>
      </c>
      <c r="P84" s="23" t="n">
        <v>117.24</v>
      </c>
      <c r="Q84" s="24" t="n">
        <v>21427700000000</v>
      </c>
      <c r="R84" s="23" t="n">
        <v>78.5</v>
      </c>
      <c r="S84" s="23" t="n">
        <v>9.6</v>
      </c>
      <c r="T84" s="23" t="n">
        <v>36.6</v>
      </c>
      <c r="U84" s="23" t="n">
        <v>328239523</v>
      </c>
      <c r="V84" s="33" t="n">
        <f aca="false">YEARFRAC(W84,X84,1)</f>
        <v>76.4530871564464</v>
      </c>
      <c r="W84" s="34" t="n">
        <f aca="false">DATE(M84,N84,O84)</f>
        <v>18118</v>
      </c>
      <c r="X84" s="34" t="n">
        <f aca="true">TODAY()</f>
        <v>46042</v>
      </c>
    </row>
    <row r="85" customFormat="false" ht="15" hidden="false" customHeight="false" outlineLevel="0" collapsed="false">
      <c r="A85" s="23" t="n">
        <v>84</v>
      </c>
      <c r="B85" s="23" t="s">
        <v>40</v>
      </c>
      <c r="C85" s="23" t="s">
        <v>426</v>
      </c>
      <c r="D85" s="23" t="s">
        <v>126</v>
      </c>
      <c r="E85" s="23" t="s">
        <v>127</v>
      </c>
      <c r="F85" s="23" t="s">
        <v>427</v>
      </c>
      <c r="G85" s="23" t="s">
        <v>40</v>
      </c>
      <c r="H85" s="32" t="s">
        <v>45</v>
      </c>
      <c r="I85" s="23" t="s">
        <v>37</v>
      </c>
      <c r="J85" s="23" t="s">
        <v>428</v>
      </c>
      <c r="K85" s="23" t="s">
        <v>429</v>
      </c>
      <c r="L85" s="23" t="n">
        <v>19000</v>
      </c>
      <c r="M85" s="23" t="n">
        <v>1963</v>
      </c>
      <c r="N85" s="23" t="n">
        <v>6</v>
      </c>
      <c r="O85" s="23" t="n">
        <v>1</v>
      </c>
      <c r="P85" s="23" t="n">
        <v>125.08</v>
      </c>
      <c r="Q85" s="24" t="n">
        <v>19910000000000</v>
      </c>
      <c r="R85" s="23" t="n">
        <v>77</v>
      </c>
      <c r="S85" s="23" t="n">
        <v>9.4</v>
      </c>
      <c r="T85" s="23" t="n">
        <v>59.2</v>
      </c>
      <c r="U85" s="23" t="n">
        <v>1397715000</v>
      </c>
      <c r="V85" s="33" t="n">
        <f aca="false">YEARFRAC(W85,X85,1)</f>
        <v>62.6392881587953</v>
      </c>
      <c r="W85" s="34" t="n">
        <f aca="false">DATE(M85,N85,O85)</f>
        <v>23163</v>
      </c>
      <c r="X85" s="34" t="n">
        <f aca="true">TODAY()</f>
        <v>46042</v>
      </c>
    </row>
    <row r="86" customFormat="false" ht="15" hidden="false" customHeight="false" outlineLevel="0" collapsed="false">
      <c r="A86" s="23" t="n">
        <v>84</v>
      </c>
      <c r="B86" s="23" t="s">
        <v>286</v>
      </c>
      <c r="C86" s="23" t="s">
        <v>430</v>
      </c>
      <c r="D86" s="23" t="s">
        <v>126</v>
      </c>
      <c r="E86" s="23" t="s">
        <v>209</v>
      </c>
      <c r="F86" s="23" t="s">
        <v>431</v>
      </c>
      <c r="G86" s="23" t="s">
        <v>286</v>
      </c>
      <c r="H86" s="32" t="s">
        <v>45</v>
      </c>
      <c r="I86" s="23" t="s">
        <v>37</v>
      </c>
      <c r="J86" s="23" t="s">
        <v>393</v>
      </c>
      <c r="K86" s="23" t="s">
        <v>432</v>
      </c>
      <c r="L86" s="23" t="n">
        <v>19000</v>
      </c>
      <c r="M86" s="23" t="n">
        <v>1968</v>
      </c>
      <c r="N86" s="23" t="n">
        <v>3</v>
      </c>
      <c r="O86" s="23" t="n">
        <v>1</v>
      </c>
      <c r="P86" s="23" t="n">
        <v>125.08</v>
      </c>
      <c r="Q86" s="24" t="n">
        <v>19910000000000</v>
      </c>
      <c r="R86" s="23" t="n">
        <v>77</v>
      </c>
      <c r="S86" s="23" t="n">
        <v>9.4</v>
      </c>
      <c r="T86" s="23" t="n">
        <v>59.2</v>
      </c>
      <c r="U86" s="23" t="n">
        <v>1397715000</v>
      </c>
      <c r="V86" s="33" t="n">
        <f aca="false">YEARFRAC(W86,X86,1)</f>
        <v>57.8884454756381</v>
      </c>
      <c r="W86" s="34" t="n">
        <f aca="false">DATE(M86,N86,O86)</f>
        <v>24898</v>
      </c>
      <c r="X86" s="34" t="n">
        <f aca="true">TODAY()</f>
        <v>46042</v>
      </c>
    </row>
    <row r="87" customFormat="false" ht="15" hidden="false" customHeight="false" outlineLevel="0" collapsed="false">
      <c r="A87" s="23" t="n">
        <v>86</v>
      </c>
      <c r="B87" s="23" t="s">
        <v>124</v>
      </c>
      <c r="C87" s="23" t="s">
        <v>433</v>
      </c>
      <c r="D87" s="23" t="s">
        <v>126</v>
      </c>
      <c r="E87" s="23" t="s">
        <v>434</v>
      </c>
      <c r="F87" s="23" t="s">
        <v>435</v>
      </c>
      <c r="G87" s="23" t="s">
        <v>124</v>
      </c>
      <c r="H87" s="32" t="s">
        <v>45</v>
      </c>
      <c r="I87" s="23" t="s">
        <v>37</v>
      </c>
      <c r="J87" s="23" t="s">
        <v>436</v>
      </c>
      <c r="K87" s="23" t="s">
        <v>437</v>
      </c>
      <c r="L87" s="23" t="n">
        <v>18900</v>
      </c>
      <c r="M87" s="23" t="n">
        <v>1965</v>
      </c>
      <c r="N87" s="23" t="n">
        <v>4</v>
      </c>
      <c r="O87" s="23" t="n">
        <v>17</v>
      </c>
      <c r="P87" s="23" t="n">
        <v>125.08</v>
      </c>
      <c r="Q87" s="24" t="n">
        <v>19910000000000</v>
      </c>
      <c r="R87" s="23" t="n">
        <v>77</v>
      </c>
      <c r="S87" s="23" t="n">
        <v>9.4</v>
      </c>
      <c r="T87" s="23" t="n">
        <v>59.2</v>
      </c>
      <c r="U87" s="23" t="n">
        <v>1397715000</v>
      </c>
      <c r="V87" s="33" t="n">
        <f aca="false">YEARFRAC(W87,X87,1)</f>
        <v>60.7624641201148</v>
      </c>
      <c r="W87" s="34" t="n">
        <f aca="false">DATE(M87,N87,O87)</f>
        <v>23849</v>
      </c>
      <c r="X87" s="34" t="n">
        <f aca="true">TODAY()</f>
        <v>46042</v>
      </c>
    </row>
    <row r="88" customFormat="false" ht="15" hidden="false" customHeight="false" outlineLevel="0" collapsed="false">
      <c r="A88" s="23" t="n">
        <v>88</v>
      </c>
      <c r="B88" s="23" t="s">
        <v>40</v>
      </c>
      <c r="C88" s="23" t="s">
        <v>438</v>
      </c>
      <c r="D88" s="23" t="s">
        <v>126</v>
      </c>
      <c r="E88" s="23" t="s">
        <v>209</v>
      </c>
      <c r="F88" s="23" t="s">
        <v>439</v>
      </c>
      <c r="G88" s="23" t="s">
        <v>40</v>
      </c>
      <c r="H88" s="32" t="s">
        <v>45</v>
      </c>
      <c r="I88" s="23" t="s">
        <v>37</v>
      </c>
      <c r="J88" s="23" t="s">
        <v>393</v>
      </c>
      <c r="K88" s="23" t="s">
        <v>440</v>
      </c>
      <c r="L88" s="23" t="n">
        <v>18700</v>
      </c>
      <c r="M88" s="23" t="n">
        <v>1966</v>
      </c>
      <c r="N88" s="23" t="n">
        <v>2</v>
      </c>
      <c r="O88" s="23" t="n">
        <v>15</v>
      </c>
      <c r="P88" s="23" t="n">
        <v>125.08</v>
      </c>
      <c r="Q88" s="24" t="n">
        <v>19910000000000</v>
      </c>
      <c r="R88" s="23" t="n">
        <v>77</v>
      </c>
      <c r="S88" s="23" t="n">
        <v>9.4</v>
      </c>
      <c r="T88" s="23" t="n">
        <v>59.2</v>
      </c>
      <c r="U88" s="23" t="n">
        <v>1397715000</v>
      </c>
      <c r="V88" s="33" t="n">
        <f aca="false">YEARFRAC(W88,X88,1)</f>
        <v>59.9294883303411</v>
      </c>
      <c r="W88" s="34" t="n">
        <f aca="false">DATE(M88,N88,O88)</f>
        <v>24153</v>
      </c>
      <c r="X88" s="34" t="n">
        <f aca="true">TODAY()</f>
        <v>46042</v>
      </c>
    </row>
    <row r="89" customFormat="false" ht="15" hidden="false" customHeight="false" outlineLevel="0" collapsed="false">
      <c r="A89" s="23" t="n">
        <v>89</v>
      </c>
      <c r="B89" s="23" t="s">
        <v>305</v>
      </c>
      <c r="C89" s="23" t="s">
        <v>441</v>
      </c>
      <c r="D89" s="23" t="s">
        <v>42</v>
      </c>
      <c r="E89" s="23" t="s">
        <v>442</v>
      </c>
      <c r="F89" s="23" t="s">
        <v>443</v>
      </c>
      <c r="G89" s="23" t="s">
        <v>305</v>
      </c>
      <c r="H89" s="32" t="s">
        <v>45</v>
      </c>
      <c r="I89" s="23" t="s">
        <v>37</v>
      </c>
      <c r="J89" s="23" t="s">
        <v>444</v>
      </c>
      <c r="K89" s="23" t="s">
        <v>445</v>
      </c>
      <c r="L89" s="23" t="n">
        <v>18500</v>
      </c>
      <c r="M89" s="23" t="n">
        <v>1945</v>
      </c>
      <c r="N89" s="23" t="n">
        <v>12</v>
      </c>
      <c r="O89" s="23" t="n">
        <v>11</v>
      </c>
      <c r="P89" s="23" t="n">
        <v>117.24</v>
      </c>
      <c r="Q89" s="24" t="n">
        <v>21427700000000</v>
      </c>
      <c r="R89" s="23" t="n">
        <v>78.5</v>
      </c>
      <c r="S89" s="23" t="n">
        <v>9.6</v>
      </c>
      <c r="T89" s="23" t="n">
        <v>36.6</v>
      </c>
      <c r="U89" s="23" t="n">
        <v>328239523</v>
      </c>
      <c r="V89" s="33" t="n">
        <f aca="false">YEARFRAC(W89,X89,1)</f>
        <v>80.1108514190317</v>
      </c>
      <c r="W89" s="34" t="n">
        <f aca="false">DATE(M89,N89,O89)</f>
        <v>16782</v>
      </c>
      <c r="X89" s="34" t="n">
        <f aca="true">TODAY()</f>
        <v>46042</v>
      </c>
    </row>
    <row r="90" customFormat="false" ht="15" hidden="false" customHeight="false" outlineLevel="0" collapsed="false">
      <c r="A90" s="23" t="n">
        <v>89</v>
      </c>
      <c r="B90" s="23" t="s">
        <v>62</v>
      </c>
      <c r="C90" s="23" t="s">
        <v>446</v>
      </c>
      <c r="D90" s="23" t="s">
        <v>42</v>
      </c>
      <c r="E90" s="23" t="s">
        <v>313</v>
      </c>
      <c r="F90" s="23" t="s">
        <v>221</v>
      </c>
      <c r="G90" s="23" t="s">
        <v>62</v>
      </c>
      <c r="H90" s="32" t="s">
        <v>45</v>
      </c>
      <c r="I90" s="23" t="s">
        <v>37</v>
      </c>
      <c r="J90" s="23" t="s">
        <v>447</v>
      </c>
      <c r="K90" s="23" t="s">
        <v>158</v>
      </c>
      <c r="L90" s="23" t="n">
        <v>18500</v>
      </c>
      <c r="M90" s="23" t="n">
        <v>1957</v>
      </c>
      <c r="N90" s="23" t="n">
        <v>9</v>
      </c>
      <c r="O90" s="23" t="n">
        <v>11</v>
      </c>
      <c r="P90" s="23" t="n">
        <v>117.24</v>
      </c>
      <c r="Q90" s="24" t="n">
        <v>21427700000000</v>
      </c>
      <c r="R90" s="23" t="n">
        <v>78.5</v>
      </c>
      <c r="S90" s="23" t="n">
        <v>9.6</v>
      </c>
      <c r="T90" s="23" t="n">
        <v>36.6</v>
      </c>
      <c r="U90" s="23" t="n">
        <v>328239523</v>
      </c>
      <c r="V90" s="33" t="n">
        <f aca="false">YEARFRAC(W90,X90,1)</f>
        <v>68.3599953064497</v>
      </c>
      <c r="W90" s="34" t="n">
        <f aca="false">DATE(M90,N90,O90)</f>
        <v>21074</v>
      </c>
      <c r="X90" s="34" t="n">
        <f aca="true">TODAY()</f>
        <v>46042</v>
      </c>
    </row>
    <row r="91" customFormat="false" ht="15" hidden="false" customHeight="false" outlineLevel="0" collapsed="false">
      <c r="A91" s="23" t="n">
        <v>89</v>
      </c>
      <c r="B91" s="23" t="s">
        <v>305</v>
      </c>
      <c r="C91" s="23" t="s">
        <v>448</v>
      </c>
      <c r="D91" s="23" t="s">
        <v>338</v>
      </c>
      <c r="E91" s="23" t="s">
        <v>339</v>
      </c>
      <c r="F91" s="23" t="s">
        <v>449</v>
      </c>
      <c r="G91" s="23" t="s">
        <v>305</v>
      </c>
      <c r="H91" s="32" t="s">
        <v>45</v>
      </c>
      <c r="I91" s="23" t="s">
        <v>37</v>
      </c>
      <c r="J91" s="23" t="s">
        <v>450</v>
      </c>
      <c r="K91" s="23" t="s">
        <v>451</v>
      </c>
      <c r="L91" s="23" t="n">
        <v>18500</v>
      </c>
      <c r="M91" s="23" t="n">
        <v>1952</v>
      </c>
      <c r="N91" s="23" t="n">
        <v>11</v>
      </c>
      <c r="O91" s="23" t="n">
        <v>9</v>
      </c>
      <c r="P91" s="23" t="n">
        <v>180.75</v>
      </c>
      <c r="Q91" s="24" t="n">
        <v>1699876578871</v>
      </c>
      <c r="R91" s="23" t="n">
        <v>72.7</v>
      </c>
      <c r="S91" s="23" t="n">
        <v>11.4</v>
      </c>
      <c r="T91" s="23" t="n">
        <v>46.2</v>
      </c>
      <c r="U91" s="23" t="n">
        <v>144373535</v>
      </c>
      <c r="V91" s="33" t="n">
        <f aca="false">YEARFRAC(W91,X91,1)</f>
        <v>73.1957727969628</v>
      </c>
      <c r="W91" s="34" t="n">
        <f aca="false">DATE(M91,N91,O91)</f>
        <v>19307</v>
      </c>
      <c r="X91" s="34" t="n">
        <f aca="true">TODAY()</f>
        <v>46042</v>
      </c>
    </row>
    <row r="92" customFormat="false" ht="15" hidden="false" customHeight="false" outlineLevel="0" collapsed="false">
      <c r="A92" s="23" t="n">
        <v>92</v>
      </c>
      <c r="B92" s="23" t="s">
        <v>62</v>
      </c>
      <c r="C92" s="23" t="s">
        <v>452</v>
      </c>
      <c r="D92" s="23" t="s">
        <v>42</v>
      </c>
      <c r="E92" s="23" t="s">
        <v>453</v>
      </c>
      <c r="F92" s="23" t="s">
        <v>454</v>
      </c>
      <c r="G92" s="23" t="s">
        <v>62</v>
      </c>
      <c r="H92" s="32" t="s">
        <v>45</v>
      </c>
      <c r="I92" s="23" t="s">
        <v>37</v>
      </c>
      <c r="J92" s="23" t="s">
        <v>455</v>
      </c>
      <c r="K92" s="23" t="s">
        <v>456</v>
      </c>
      <c r="L92" s="23" t="n">
        <v>18000</v>
      </c>
      <c r="M92" s="23" t="n">
        <v>1962</v>
      </c>
      <c r="N92" s="23" t="n">
        <v>1</v>
      </c>
      <c r="O92" s="23" t="n">
        <v>17</v>
      </c>
      <c r="P92" s="23" t="n">
        <v>117.24</v>
      </c>
      <c r="Q92" s="24" t="n">
        <v>21427700000000</v>
      </c>
      <c r="R92" s="23" t="n">
        <v>78.5</v>
      </c>
      <c r="S92" s="23" t="n">
        <v>9.6</v>
      </c>
      <c r="T92" s="23" t="n">
        <v>36.6</v>
      </c>
      <c r="U92" s="23" t="n">
        <v>328239523</v>
      </c>
      <c r="V92" s="33" t="n">
        <f aca="false">YEARFRAC(W92,X92,1)</f>
        <v>64.0088875784508</v>
      </c>
      <c r="W92" s="34" t="n">
        <f aca="false">DATE(M92,N92,O92)</f>
        <v>22663</v>
      </c>
      <c r="X92" s="34" t="n">
        <f aca="true">TODAY()</f>
        <v>46042</v>
      </c>
    </row>
    <row r="93" customFormat="false" ht="15" hidden="false" customHeight="false" outlineLevel="0" collapsed="false">
      <c r="A93" s="23" t="n">
        <v>93</v>
      </c>
      <c r="B93" s="23" t="s">
        <v>286</v>
      </c>
      <c r="C93" s="23" t="s">
        <v>457</v>
      </c>
      <c r="D93" s="23" t="s">
        <v>241</v>
      </c>
      <c r="E93" s="23" t="s">
        <v>242</v>
      </c>
      <c r="F93" s="23" t="s">
        <v>458</v>
      </c>
      <c r="G93" s="23" t="s">
        <v>286</v>
      </c>
      <c r="H93" s="32" t="s">
        <v>36</v>
      </c>
      <c r="I93" s="23" t="s">
        <v>37</v>
      </c>
      <c r="J93" s="23" t="s">
        <v>459</v>
      </c>
      <c r="K93" s="23" t="s">
        <v>460</v>
      </c>
      <c r="L93" s="23" t="n">
        <v>17700</v>
      </c>
      <c r="M93" s="23" t="n">
        <v>1950</v>
      </c>
      <c r="N93" s="23" t="n">
        <v>6</v>
      </c>
      <c r="O93" s="23" t="n">
        <v>15</v>
      </c>
      <c r="P93" s="23" t="n">
        <v>119.62</v>
      </c>
      <c r="Q93" s="24" t="n">
        <v>2827113184696</v>
      </c>
      <c r="R93" s="23" t="n">
        <v>81.3</v>
      </c>
      <c r="S93" s="23" t="n">
        <v>25.5</v>
      </c>
      <c r="T93" s="23" t="n">
        <v>30.6</v>
      </c>
      <c r="U93" s="23" t="n">
        <v>66834405</v>
      </c>
      <c r="V93" s="33" t="n">
        <f aca="false">YEARFRAC(W93,X93,1)</f>
        <v>75.6009458114066</v>
      </c>
      <c r="W93" s="34" t="n">
        <f aca="false">DATE(M93,N93,O93)</f>
        <v>18429</v>
      </c>
      <c r="X93" s="34" t="n">
        <f aca="true">TODAY()</f>
        <v>46042</v>
      </c>
    </row>
    <row r="94" customFormat="false" ht="15" hidden="false" customHeight="false" outlineLevel="0" collapsed="false">
      <c r="A94" s="23" t="n">
        <v>94</v>
      </c>
      <c r="B94" s="23" t="s">
        <v>62</v>
      </c>
      <c r="C94" s="23" t="s">
        <v>461</v>
      </c>
      <c r="D94" s="23" t="s">
        <v>42</v>
      </c>
      <c r="E94" s="23" t="s">
        <v>423</v>
      </c>
      <c r="F94" s="23" t="s">
        <v>221</v>
      </c>
      <c r="G94" s="23" t="s">
        <v>62</v>
      </c>
      <c r="H94" s="32" t="s">
        <v>45</v>
      </c>
      <c r="I94" s="23" t="s">
        <v>37</v>
      </c>
      <c r="J94" s="23" t="s">
        <v>462</v>
      </c>
      <c r="K94" s="23" t="s">
        <v>99</v>
      </c>
      <c r="L94" s="23" t="n">
        <v>17500</v>
      </c>
      <c r="M94" s="23" t="n">
        <v>1956</v>
      </c>
      <c r="N94" s="23" t="n">
        <v>6</v>
      </c>
      <c r="O94" s="23" t="n">
        <v>11</v>
      </c>
      <c r="P94" s="23" t="n">
        <v>117.24</v>
      </c>
      <c r="Q94" s="24" t="n">
        <v>21427700000000</v>
      </c>
      <c r="R94" s="23" t="n">
        <v>78.5</v>
      </c>
      <c r="S94" s="23" t="n">
        <v>9.6</v>
      </c>
      <c r="T94" s="23" t="n">
        <v>36.6</v>
      </c>
      <c r="U94" s="23" t="n">
        <v>328239523</v>
      </c>
      <c r="V94" s="33" t="n">
        <f aca="false">YEARFRAC(W94,X94,1)</f>
        <v>69.6091852080361</v>
      </c>
      <c r="W94" s="34" t="n">
        <f aca="false">DATE(M94,N94,O94)</f>
        <v>20617</v>
      </c>
      <c r="X94" s="34" t="n">
        <f aca="true">TODAY()</f>
        <v>46042</v>
      </c>
    </row>
    <row r="95" customFormat="false" ht="15" hidden="false" customHeight="false" outlineLevel="0" collapsed="false">
      <c r="A95" s="23" t="n">
        <v>94</v>
      </c>
      <c r="B95" s="23" t="s">
        <v>62</v>
      </c>
      <c r="C95" s="23" t="s">
        <v>463</v>
      </c>
      <c r="D95" s="23" t="s">
        <v>42</v>
      </c>
      <c r="E95" s="23" t="s">
        <v>464</v>
      </c>
      <c r="F95" s="23" t="s">
        <v>278</v>
      </c>
      <c r="G95" s="23" t="s">
        <v>62</v>
      </c>
      <c r="H95" s="32" t="s">
        <v>45</v>
      </c>
      <c r="I95" s="23" t="s">
        <v>37</v>
      </c>
      <c r="J95" s="23" t="s">
        <v>465</v>
      </c>
      <c r="K95" s="23" t="s">
        <v>466</v>
      </c>
      <c r="L95" s="23" t="n">
        <v>17500</v>
      </c>
      <c r="M95" s="23" t="n">
        <v>1936</v>
      </c>
      <c r="N95" s="23" t="n">
        <v>2</v>
      </c>
      <c r="O95" s="23" t="n">
        <v>16</v>
      </c>
      <c r="P95" s="23" t="n">
        <v>117.24</v>
      </c>
      <c r="Q95" s="24" t="n">
        <v>21427700000000</v>
      </c>
      <c r="R95" s="23" t="n">
        <v>78.5</v>
      </c>
      <c r="S95" s="23" t="n">
        <v>9.6</v>
      </c>
      <c r="T95" s="23" t="n">
        <v>36.6</v>
      </c>
      <c r="U95" s="23" t="n">
        <v>328239523</v>
      </c>
      <c r="V95" s="33" t="n">
        <f aca="false">YEARFRAC(W95,X95,1)</f>
        <v>89.9267705638125</v>
      </c>
      <c r="W95" s="34" t="n">
        <f aca="false">DATE(M95,N95,O95)</f>
        <v>13196</v>
      </c>
      <c r="X95" s="34" t="n">
        <f aca="true">TODAY()</f>
        <v>46042</v>
      </c>
    </row>
    <row r="96" customFormat="false" ht="15" hidden="false" customHeight="false" outlineLevel="0" collapsed="false">
      <c r="A96" s="23" t="n">
        <v>94</v>
      </c>
      <c r="B96" s="23" t="s">
        <v>286</v>
      </c>
      <c r="C96" s="23" t="s">
        <v>467</v>
      </c>
      <c r="D96" s="23" t="s">
        <v>91</v>
      </c>
      <c r="E96" s="23" t="s">
        <v>468</v>
      </c>
      <c r="F96" s="23" t="s">
        <v>458</v>
      </c>
      <c r="G96" s="23" t="s">
        <v>286</v>
      </c>
      <c r="H96" s="32" t="s">
        <v>36</v>
      </c>
      <c r="I96" s="23" t="s">
        <v>103</v>
      </c>
      <c r="J96" s="23" t="s">
        <v>469</v>
      </c>
      <c r="K96" s="23" t="s">
        <v>470</v>
      </c>
      <c r="L96" s="23" t="n">
        <v>17500</v>
      </c>
      <c r="M96" s="23" t="n">
        <v>1950</v>
      </c>
      <c r="N96" s="23" t="n">
        <v>3</v>
      </c>
      <c r="O96" s="23" t="n">
        <v>20</v>
      </c>
      <c r="P96" s="23" t="n">
        <v>180.44</v>
      </c>
      <c r="Q96" s="24" t="n">
        <v>2611000000000</v>
      </c>
      <c r="R96" s="23" t="n">
        <v>69.4</v>
      </c>
      <c r="S96" s="23" t="n">
        <v>11.2</v>
      </c>
      <c r="T96" s="23" t="n">
        <v>49.7</v>
      </c>
      <c r="U96" s="23" t="n">
        <v>1366417754</v>
      </c>
      <c r="V96" s="33" t="n">
        <f aca="false">YEARFRAC(W96,X96,1)</f>
        <v>75.8391409472337</v>
      </c>
      <c r="W96" s="34" t="n">
        <f aca="false">DATE(M96,N96,O96)</f>
        <v>18342</v>
      </c>
      <c r="X96" s="34" t="n">
        <f aca="true">TODAY()</f>
        <v>46042</v>
      </c>
    </row>
    <row r="97" customFormat="false" ht="15" hidden="false" customHeight="false" outlineLevel="0" collapsed="false">
      <c r="A97" s="23" t="n">
        <v>97</v>
      </c>
      <c r="B97" s="23" t="s">
        <v>471</v>
      </c>
      <c r="C97" s="23" t="s">
        <v>472</v>
      </c>
      <c r="D97" s="23" t="s">
        <v>42</v>
      </c>
      <c r="E97" s="23" t="s">
        <v>473</v>
      </c>
      <c r="F97" s="23" t="s">
        <v>474</v>
      </c>
      <c r="G97" s="23" t="s">
        <v>471</v>
      </c>
      <c r="H97" s="32" t="s">
        <v>45</v>
      </c>
      <c r="I97" s="23" t="s">
        <v>37</v>
      </c>
      <c r="J97" s="23" t="s">
        <v>475</v>
      </c>
      <c r="K97" s="23" t="s">
        <v>476</v>
      </c>
      <c r="L97" s="23" t="n">
        <v>17400</v>
      </c>
      <c r="M97" s="23" t="n">
        <v>1932</v>
      </c>
      <c r="N97" s="23" t="n">
        <v>5</v>
      </c>
      <c r="O97" s="23" t="n">
        <v>11</v>
      </c>
      <c r="P97" s="23" t="n">
        <v>117.24</v>
      </c>
      <c r="Q97" s="24" t="n">
        <v>21427700000000</v>
      </c>
      <c r="R97" s="23" t="n">
        <v>78.5</v>
      </c>
      <c r="S97" s="23" t="n">
        <v>9.6</v>
      </c>
      <c r="T97" s="23" t="n">
        <v>36.6</v>
      </c>
      <c r="U97" s="23" t="n">
        <v>328239523</v>
      </c>
      <c r="V97" s="33" t="n">
        <f aca="false">YEARFRAC(W97,X97,1)</f>
        <v>93.6940545837056</v>
      </c>
      <c r="W97" s="34" t="n">
        <f aca="false">DATE(M97,N97,O97)</f>
        <v>11820</v>
      </c>
      <c r="X97" s="34" t="n">
        <f aca="true">TODAY()</f>
        <v>46042</v>
      </c>
    </row>
    <row r="98" customFormat="false" ht="15" hidden="false" customHeight="false" outlineLevel="0" collapsed="false">
      <c r="A98" s="23" t="n">
        <v>97</v>
      </c>
      <c r="B98" s="23" t="s">
        <v>31</v>
      </c>
      <c r="C98" s="23" t="s">
        <v>477</v>
      </c>
      <c r="D98" s="23" t="s">
        <v>42</v>
      </c>
      <c r="E98" s="23" t="s">
        <v>478</v>
      </c>
      <c r="F98" s="23" t="s">
        <v>479</v>
      </c>
      <c r="G98" s="23" t="s">
        <v>31</v>
      </c>
      <c r="H98" s="32" t="s">
        <v>45</v>
      </c>
      <c r="I98" s="23" t="s">
        <v>37</v>
      </c>
      <c r="J98" s="23" t="s">
        <v>480</v>
      </c>
      <c r="K98" s="23" t="s">
        <v>207</v>
      </c>
      <c r="L98" s="23" t="n">
        <v>17400</v>
      </c>
      <c r="M98" s="23" t="n">
        <v>1940</v>
      </c>
      <c r="N98" s="23" t="n">
        <v>1</v>
      </c>
      <c r="O98" s="23" t="n">
        <v>22</v>
      </c>
      <c r="P98" s="23" t="n">
        <v>117.24</v>
      </c>
      <c r="Q98" s="24" t="n">
        <v>21427700000000</v>
      </c>
      <c r="R98" s="23" t="n">
        <v>78.5</v>
      </c>
      <c r="S98" s="23" t="n">
        <v>9.6</v>
      </c>
      <c r="T98" s="23" t="n">
        <v>36.6</v>
      </c>
      <c r="U98" s="23" t="n">
        <v>328239523</v>
      </c>
      <c r="V98" s="33" t="n">
        <f aca="false">YEARFRAC(W98,X98,1)</f>
        <v>85.9952166661422</v>
      </c>
      <c r="W98" s="34" t="n">
        <f aca="false">DATE(M98,N98,O98)</f>
        <v>14632</v>
      </c>
      <c r="X98" s="34" t="n">
        <f aca="true">TODAY()</f>
        <v>46042</v>
      </c>
    </row>
    <row r="99" customFormat="false" ht="15" hidden="false" customHeight="false" outlineLevel="0" collapsed="false">
      <c r="A99" s="23" t="n">
        <v>99</v>
      </c>
      <c r="B99" s="23" t="s">
        <v>75</v>
      </c>
      <c r="C99" s="23" t="s">
        <v>481</v>
      </c>
      <c r="D99" s="23" t="s">
        <v>42</v>
      </c>
      <c r="E99" s="23" t="s">
        <v>77</v>
      </c>
      <c r="F99" s="23" t="s">
        <v>482</v>
      </c>
      <c r="G99" s="23" t="s">
        <v>75</v>
      </c>
      <c r="H99" s="32" t="s">
        <v>36</v>
      </c>
      <c r="I99" s="23" t="s">
        <v>37</v>
      </c>
      <c r="J99" s="23" t="s">
        <v>483</v>
      </c>
      <c r="K99" s="23" t="s">
        <v>484</v>
      </c>
      <c r="L99" s="23" t="n">
        <v>17100</v>
      </c>
      <c r="M99" s="23" t="n">
        <v>1931</v>
      </c>
      <c r="N99" s="23" t="n">
        <v>3</v>
      </c>
      <c r="O99" s="23" t="n">
        <v>11</v>
      </c>
      <c r="P99" s="23" t="n">
        <v>117.24</v>
      </c>
      <c r="Q99" s="24" t="n">
        <v>21427700000000</v>
      </c>
      <c r="R99" s="23" t="n">
        <v>78.5</v>
      </c>
      <c r="S99" s="23" t="n">
        <v>9.6</v>
      </c>
      <c r="T99" s="23" t="n">
        <v>36.6</v>
      </c>
      <c r="U99" s="23" t="n">
        <v>328239523</v>
      </c>
      <c r="V99" s="33" t="n">
        <f aca="false">YEARFRAC(W99,X99,1)</f>
        <v>94.8637919233402</v>
      </c>
      <c r="W99" s="34" t="n">
        <f aca="false">DATE(M99,N99,O99)</f>
        <v>11393</v>
      </c>
      <c r="X99" s="34" t="n">
        <f aca="true">TODAY()</f>
        <v>46042</v>
      </c>
    </row>
    <row r="100" customFormat="false" ht="15" hidden="false" customHeight="false" outlineLevel="0" collapsed="false">
      <c r="A100" s="23" t="n">
        <v>100</v>
      </c>
      <c r="B100" s="23" t="s">
        <v>62</v>
      </c>
      <c r="C100" s="23" t="s">
        <v>485</v>
      </c>
      <c r="D100" s="23" t="s">
        <v>189</v>
      </c>
      <c r="E100" s="23" t="s">
        <v>486</v>
      </c>
      <c r="F100" s="23" t="s">
        <v>487</v>
      </c>
      <c r="G100" s="23" t="s">
        <v>62</v>
      </c>
      <c r="H100" s="32" t="s">
        <v>36</v>
      </c>
      <c r="I100" s="23" t="s">
        <v>103</v>
      </c>
      <c r="J100" s="23" t="s">
        <v>488</v>
      </c>
      <c r="K100" s="23" t="s">
        <v>489</v>
      </c>
      <c r="L100" s="23" t="n">
        <v>16700</v>
      </c>
      <c r="M100" s="23" t="n">
        <v>1953</v>
      </c>
      <c r="N100" s="23" t="n">
        <v>1</v>
      </c>
      <c r="O100" s="23" t="n">
        <v>1</v>
      </c>
      <c r="P100" s="23" t="n">
        <v>99.55</v>
      </c>
      <c r="Q100" s="24" t="n">
        <v>703082435360</v>
      </c>
      <c r="R100" s="23" t="n">
        <v>83.6</v>
      </c>
      <c r="S100" s="23" t="n">
        <v>10.1</v>
      </c>
      <c r="T100" s="23" t="n">
        <v>28.8</v>
      </c>
      <c r="U100" s="23" t="n">
        <v>8574832</v>
      </c>
      <c r="V100" s="33" t="n">
        <f aca="false">YEARFRAC(W100,X100,1)</f>
        <v>73.0526861033003</v>
      </c>
      <c r="W100" s="34" t="n">
        <f aca="false">DATE(M100,N100,O100)</f>
        <v>19360</v>
      </c>
      <c r="X100" s="34" t="n">
        <f aca="true">TODAY()</f>
        <v>46042</v>
      </c>
    </row>
    <row r="101" customFormat="false" ht="15" hidden="false" customHeight="false" outlineLevel="0" collapsed="false">
      <c r="A101" s="23" t="n">
        <v>101</v>
      </c>
      <c r="B101" s="23" t="s">
        <v>31</v>
      </c>
      <c r="C101" s="23" t="s">
        <v>490</v>
      </c>
      <c r="D101" s="23" t="s">
        <v>178</v>
      </c>
      <c r="E101" s="23" t="s">
        <v>491</v>
      </c>
      <c r="F101" s="23" t="s">
        <v>492</v>
      </c>
      <c r="G101" s="23" t="s">
        <v>31</v>
      </c>
      <c r="H101" s="32" t="s">
        <v>36</v>
      </c>
      <c r="I101" s="23" t="s">
        <v>37</v>
      </c>
      <c r="J101" s="23" t="s">
        <v>493</v>
      </c>
      <c r="K101" s="23" t="s">
        <v>494</v>
      </c>
      <c r="L101" s="23" t="n">
        <v>16500</v>
      </c>
      <c r="M101" s="23" t="n">
        <v>1951</v>
      </c>
      <c r="N101" s="23" t="n">
        <v>1</v>
      </c>
      <c r="O101" s="23" t="n">
        <v>1</v>
      </c>
      <c r="P101" s="23" t="n">
        <v>112.85</v>
      </c>
      <c r="Q101" s="24" t="n">
        <v>3845630030824</v>
      </c>
      <c r="R101" s="23" t="n">
        <v>80.9</v>
      </c>
      <c r="S101" s="23" t="n">
        <v>11.5</v>
      </c>
      <c r="T101" s="23" t="n">
        <v>48.8</v>
      </c>
      <c r="U101" s="23" t="n">
        <v>83132799</v>
      </c>
      <c r="V101" s="33" t="n">
        <f aca="false">YEARFRAC(W101,X101,1)</f>
        <v>75.0527036276523</v>
      </c>
      <c r="W101" s="34" t="n">
        <f aca="false">DATE(M101,N101,O101)</f>
        <v>18629</v>
      </c>
      <c r="X101" s="34" t="n">
        <f aca="true">TODAY()</f>
        <v>46042</v>
      </c>
    </row>
    <row r="102" customFormat="false" ht="15" hidden="false" customHeight="false" outlineLevel="0" collapsed="false">
      <c r="A102" s="23" t="n">
        <v>101</v>
      </c>
      <c r="B102" s="23" t="s">
        <v>62</v>
      </c>
      <c r="C102" s="23" t="s">
        <v>495</v>
      </c>
      <c r="D102" s="23" t="s">
        <v>496</v>
      </c>
      <c r="E102" s="23" t="s">
        <v>497</v>
      </c>
      <c r="F102" s="23" t="s">
        <v>498</v>
      </c>
      <c r="G102" s="23" t="s">
        <v>62</v>
      </c>
      <c r="H102" s="32" t="s">
        <v>36</v>
      </c>
      <c r="I102" s="23" t="s">
        <v>103</v>
      </c>
      <c r="J102" s="23" t="s">
        <v>499</v>
      </c>
      <c r="K102" s="23" t="s">
        <v>500</v>
      </c>
      <c r="L102" s="23" t="n">
        <v>16500</v>
      </c>
      <c r="M102" s="23" t="n">
        <v>1967</v>
      </c>
      <c r="N102" s="23" t="n">
        <v>7</v>
      </c>
      <c r="O102" s="23" t="n">
        <v>4</v>
      </c>
      <c r="P102" s="23" t="n">
        <v>116.48</v>
      </c>
      <c r="Q102" s="24" t="n">
        <v>246489245495</v>
      </c>
      <c r="R102" s="23" t="n">
        <v>79</v>
      </c>
      <c r="S102" s="23" t="n">
        <v>14.9</v>
      </c>
      <c r="T102" s="23" t="n">
        <v>46.1</v>
      </c>
      <c r="U102" s="23" t="n">
        <v>10669709</v>
      </c>
      <c r="V102" s="33" t="n">
        <f aca="false">YEARFRAC(W102,X102,1)</f>
        <v>58.54893908282</v>
      </c>
      <c r="W102" s="34" t="n">
        <f aca="false">DATE(M102,N102,O102)</f>
        <v>24657</v>
      </c>
      <c r="X102" s="34" t="n">
        <f aca="true">TODAY()</f>
        <v>46042</v>
      </c>
    </row>
    <row r="103" customFormat="false" ht="15" hidden="false" customHeight="false" outlineLevel="0" collapsed="false">
      <c r="A103" s="23" t="n">
        <v>101</v>
      </c>
      <c r="B103" s="23" t="s">
        <v>62</v>
      </c>
      <c r="C103" s="23" t="s">
        <v>495</v>
      </c>
      <c r="D103" s="23" t="s">
        <v>496</v>
      </c>
      <c r="E103" s="23" t="s">
        <v>497</v>
      </c>
      <c r="F103" s="23" t="s">
        <v>498</v>
      </c>
      <c r="G103" s="23" t="s">
        <v>62</v>
      </c>
      <c r="H103" s="32" t="s">
        <v>36</v>
      </c>
      <c r="I103" s="23" t="s">
        <v>103</v>
      </c>
      <c r="J103" s="23" t="s">
        <v>499</v>
      </c>
      <c r="K103" s="23" t="s">
        <v>500</v>
      </c>
      <c r="L103" s="23" t="n">
        <v>16500</v>
      </c>
      <c r="M103" s="23" t="n">
        <v>1967</v>
      </c>
      <c r="N103" s="23" t="n">
        <v>7</v>
      </c>
      <c r="O103" s="23" t="n">
        <v>4</v>
      </c>
      <c r="P103" s="23" t="n">
        <v>116.48</v>
      </c>
      <c r="Q103" s="24" t="n">
        <v>246489245495</v>
      </c>
      <c r="R103" s="23" t="n">
        <v>79</v>
      </c>
      <c r="S103" s="23" t="n">
        <v>14.9</v>
      </c>
      <c r="T103" s="23" t="n">
        <v>46.1</v>
      </c>
      <c r="U103" s="23" t="n">
        <v>10669709</v>
      </c>
      <c r="V103" s="33" t="n">
        <f aca="false">YEARFRAC(W103,X103,1)</f>
        <v>58.54893908282</v>
      </c>
      <c r="W103" s="34" t="n">
        <f aca="false">DATE(M103,N103,O103)</f>
        <v>24657</v>
      </c>
      <c r="X103" s="34" t="n">
        <f aca="true">TODAY()</f>
        <v>46042</v>
      </c>
    </row>
    <row r="104" customFormat="false" ht="15" hidden="false" customHeight="false" outlineLevel="0" collapsed="false">
      <c r="A104" s="23" t="n">
        <v>103</v>
      </c>
      <c r="B104" s="23" t="s">
        <v>360</v>
      </c>
      <c r="C104" s="23" t="s">
        <v>501</v>
      </c>
      <c r="D104" s="23" t="s">
        <v>126</v>
      </c>
      <c r="E104" s="23" t="s">
        <v>209</v>
      </c>
      <c r="F104" s="23" t="s">
        <v>502</v>
      </c>
      <c r="G104" s="23" t="s">
        <v>360</v>
      </c>
      <c r="H104" s="32" t="s">
        <v>45</v>
      </c>
      <c r="I104" s="23" t="s">
        <v>37</v>
      </c>
      <c r="J104" s="23" t="s">
        <v>428</v>
      </c>
      <c r="K104" s="23" t="s">
        <v>503</v>
      </c>
      <c r="L104" s="23" t="n">
        <v>16300</v>
      </c>
      <c r="M104" s="23" t="n">
        <v>1951</v>
      </c>
      <c r="N104" s="23" t="n">
        <v>1</v>
      </c>
      <c r="O104" s="23" t="n">
        <v>1</v>
      </c>
      <c r="P104" s="23" t="n">
        <v>125.08</v>
      </c>
      <c r="Q104" s="24" t="n">
        <v>19910000000000</v>
      </c>
      <c r="R104" s="23" t="n">
        <v>77</v>
      </c>
      <c r="S104" s="23" t="n">
        <v>9.4</v>
      </c>
      <c r="T104" s="23" t="n">
        <v>59.2</v>
      </c>
      <c r="U104" s="23" t="n">
        <v>1397715000</v>
      </c>
      <c r="V104" s="33" t="n">
        <f aca="false">YEARFRAC(W104,X104,1)</f>
        <v>75.0527036276523</v>
      </c>
      <c r="W104" s="34" t="n">
        <f aca="false">DATE(M104,N104,O104)</f>
        <v>18629</v>
      </c>
      <c r="X104" s="34" t="n">
        <f aca="true">TODAY()</f>
        <v>46042</v>
      </c>
    </row>
    <row r="105" customFormat="false" ht="15" hidden="false" customHeight="false" outlineLevel="0" collapsed="false">
      <c r="A105" s="23" t="n">
        <v>104</v>
      </c>
      <c r="B105" s="23" t="s">
        <v>31</v>
      </c>
      <c r="C105" s="23" t="s">
        <v>504</v>
      </c>
      <c r="D105" s="23" t="s">
        <v>505</v>
      </c>
      <c r="E105" s="23" t="s">
        <v>506</v>
      </c>
      <c r="F105" s="23" t="s">
        <v>507</v>
      </c>
      <c r="G105" s="23" t="s">
        <v>31</v>
      </c>
      <c r="H105" s="32" t="s">
        <v>36</v>
      </c>
      <c r="I105" s="23" t="s">
        <v>37</v>
      </c>
      <c r="J105" s="23" t="s">
        <v>508</v>
      </c>
      <c r="K105" s="23" t="s">
        <v>327</v>
      </c>
      <c r="L105" s="23" t="n">
        <v>16200</v>
      </c>
      <c r="M105" s="23" t="n">
        <v>1947</v>
      </c>
      <c r="N105" s="23" t="n">
        <v>10</v>
      </c>
      <c r="O105" s="23" t="n">
        <v>4</v>
      </c>
      <c r="P105" s="23" t="n">
        <v>110.51</v>
      </c>
      <c r="Q105" s="24" t="n">
        <v>530832908738</v>
      </c>
      <c r="R105" s="23" t="n">
        <v>82.5</v>
      </c>
      <c r="S105" s="23" t="n">
        <v>27.9</v>
      </c>
      <c r="T105" s="23" t="n">
        <v>49.1</v>
      </c>
      <c r="U105" s="23" t="n">
        <v>10285453</v>
      </c>
      <c r="V105" s="33" t="n">
        <f aca="false">YEARFRAC(W105,X105,1)</f>
        <v>78.2970568104038</v>
      </c>
      <c r="W105" s="34" t="n">
        <f aca="false">DATE(M105,N105,O105)</f>
        <v>17444</v>
      </c>
      <c r="X105" s="34" t="n">
        <f aca="true">TODAY()</f>
        <v>46042</v>
      </c>
    </row>
    <row r="106" customFormat="false" ht="15" hidden="false" customHeight="false" outlineLevel="0" collapsed="false">
      <c r="A106" s="23" t="n">
        <v>104</v>
      </c>
      <c r="B106" s="23" t="s">
        <v>49</v>
      </c>
      <c r="C106" s="23" t="s">
        <v>509</v>
      </c>
      <c r="D106" s="23" t="s">
        <v>42</v>
      </c>
      <c r="E106" s="23" t="s">
        <v>510</v>
      </c>
      <c r="F106" s="23" t="s">
        <v>109</v>
      </c>
      <c r="G106" s="23" t="s">
        <v>49</v>
      </c>
      <c r="H106" s="32" t="s">
        <v>45</v>
      </c>
      <c r="I106" s="23" t="s">
        <v>37</v>
      </c>
      <c r="J106" s="23" t="s">
        <v>511</v>
      </c>
      <c r="K106" s="23" t="s">
        <v>429</v>
      </c>
      <c r="L106" s="23" t="n">
        <v>16200</v>
      </c>
      <c r="M106" s="23" t="n">
        <v>1955</v>
      </c>
      <c r="N106" s="23" t="n">
        <v>4</v>
      </c>
      <c r="O106" s="23" t="n">
        <v>27</v>
      </c>
      <c r="P106" s="23" t="n">
        <v>117.24</v>
      </c>
      <c r="Q106" s="24" t="n">
        <v>21427700000000</v>
      </c>
      <c r="R106" s="23" t="n">
        <v>78.5</v>
      </c>
      <c r="S106" s="23" t="n">
        <v>9.6</v>
      </c>
      <c r="T106" s="23" t="n">
        <v>36.6</v>
      </c>
      <c r="U106" s="23" t="n">
        <v>328239523</v>
      </c>
      <c r="V106" s="33" t="n">
        <f aca="false">YEARFRAC(W106,X106,1)</f>
        <v>70.735112936345</v>
      </c>
      <c r="W106" s="34" t="n">
        <f aca="false">DATE(M106,N106,O106)</f>
        <v>20206</v>
      </c>
      <c r="X106" s="34" t="n">
        <f aca="true">TODAY()</f>
        <v>46042</v>
      </c>
    </row>
    <row r="107" customFormat="false" ht="15" hidden="false" customHeight="false" outlineLevel="0" collapsed="false">
      <c r="A107" s="23" t="n">
        <v>106</v>
      </c>
      <c r="B107" s="23" t="s">
        <v>62</v>
      </c>
      <c r="C107" s="23" t="s">
        <v>512</v>
      </c>
      <c r="D107" s="23" t="s">
        <v>189</v>
      </c>
      <c r="E107" s="23" t="s">
        <v>253</v>
      </c>
      <c r="F107" s="23" t="s">
        <v>221</v>
      </c>
      <c r="G107" s="23" t="s">
        <v>62</v>
      </c>
      <c r="H107" s="32" t="s">
        <v>45</v>
      </c>
      <c r="I107" s="23" t="s">
        <v>37</v>
      </c>
      <c r="J107" s="23" t="s">
        <v>513</v>
      </c>
      <c r="K107" s="23" t="s">
        <v>80</v>
      </c>
      <c r="L107" s="23" t="n">
        <v>16000</v>
      </c>
      <c r="M107" s="23" t="n">
        <v>1968</v>
      </c>
      <c r="N107" s="23" t="n">
        <v>3</v>
      </c>
      <c r="O107" s="23" t="n">
        <v>18</v>
      </c>
      <c r="P107" s="23" t="n">
        <v>99.55</v>
      </c>
      <c r="Q107" s="24" t="n">
        <v>703082435360</v>
      </c>
      <c r="R107" s="23" t="n">
        <v>83.6</v>
      </c>
      <c r="S107" s="23" t="n">
        <v>10.1</v>
      </c>
      <c r="T107" s="23" t="n">
        <v>28.8</v>
      </c>
      <c r="U107" s="23" t="n">
        <v>8574832</v>
      </c>
      <c r="V107" s="33" t="n">
        <f aca="false">YEARFRAC(W107,X107,1)</f>
        <v>57.8419025522042</v>
      </c>
      <c r="W107" s="34" t="n">
        <f aca="false">DATE(M107,N107,O107)</f>
        <v>24915</v>
      </c>
      <c r="X107" s="34" t="n">
        <f aca="true">TODAY()</f>
        <v>46042</v>
      </c>
    </row>
    <row r="108" customFormat="false" ht="15" hidden="false" customHeight="false" outlineLevel="0" collapsed="false">
      <c r="A108" s="23" t="n">
        <v>107</v>
      </c>
      <c r="B108" s="23" t="s">
        <v>124</v>
      </c>
      <c r="C108" s="23" t="s">
        <v>514</v>
      </c>
      <c r="D108" s="23" t="s">
        <v>126</v>
      </c>
      <c r="E108" s="23" t="s">
        <v>346</v>
      </c>
      <c r="F108" s="23" t="s">
        <v>515</v>
      </c>
      <c r="G108" s="23" t="s">
        <v>124</v>
      </c>
      <c r="H108" s="32" t="s">
        <v>45</v>
      </c>
      <c r="I108" s="23" t="s">
        <v>37</v>
      </c>
      <c r="J108" s="23" t="s">
        <v>516</v>
      </c>
      <c r="K108" s="23" t="s">
        <v>517</v>
      </c>
      <c r="L108" s="23" t="n">
        <v>15900</v>
      </c>
      <c r="M108" s="23" t="n">
        <v>1956</v>
      </c>
      <c r="N108" s="23" t="n">
        <v>1</v>
      </c>
      <c r="O108" s="23" t="n">
        <v>19</v>
      </c>
      <c r="P108" s="23" t="n">
        <v>125.08</v>
      </c>
      <c r="Q108" s="24" t="n">
        <v>19910000000000</v>
      </c>
      <c r="R108" s="23" t="n">
        <v>77</v>
      </c>
      <c r="S108" s="23" t="n">
        <v>9.4</v>
      </c>
      <c r="T108" s="23" t="n">
        <v>59.2</v>
      </c>
      <c r="U108" s="23" t="n">
        <v>1397715000</v>
      </c>
      <c r="V108" s="33" t="n">
        <f aca="false">YEARFRAC(W108,X108,1)</f>
        <v>70.0034319207188</v>
      </c>
      <c r="W108" s="34" t="n">
        <f aca="false">DATE(M108,N108,O108)</f>
        <v>20473</v>
      </c>
      <c r="X108" s="34" t="n">
        <f aca="true">TODAY()</f>
        <v>46042</v>
      </c>
    </row>
    <row r="109" customFormat="false" ht="15" hidden="false" customHeight="false" outlineLevel="0" collapsed="false">
      <c r="A109" s="23" t="n">
        <v>108</v>
      </c>
      <c r="B109" s="23" t="s">
        <v>124</v>
      </c>
      <c r="C109" s="23" t="s">
        <v>518</v>
      </c>
      <c r="D109" s="23" t="s">
        <v>189</v>
      </c>
      <c r="E109" s="23" t="s">
        <v>519</v>
      </c>
      <c r="F109" s="23" t="s">
        <v>520</v>
      </c>
      <c r="G109" s="23" t="s">
        <v>124</v>
      </c>
      <c r="H109" s="32" t="s">
        <v>45</v>
      </c>
      <c r="I109" s="23" t="s">
        <v>37</v>
      </c>
      <c r="J109" s="23" t="s">
        <v>521</v>
      </c>
      <c r="K109" s="23" t="s">
        <v>522</v>
      </c>
      <c r="L109" s="23" t="n">
        <v>15800</v>
      </c>
      <c r="M109" s="23" t="n">
        <v>1939</v>
      </c>
      <c r="N109" s="23" t="n">
        <v>8</v>
      </c>
      <c r="O109" s="23" t="n">
        <v>26</v>
      </c>
      <c r="P109" s="23" t="n">
        <v>99.55</v>
      </c>
      <c r="Q109" s="24" t="n">
        <v>703082435360</v>
      </c>
      <c r="R109" s="23" t="n">
        <v>83.6</v>
      </c>
      <c r="S109" s="23" t="n">
        <v>10.1</v>
      </c>
      <c r="T109" s="23" t="n">
        <v>28.8</v>
      </c>
      <c r="U109" s="23" t="n">
        <v>8574832</v>
      </c>
      <c r="V109" s="33" t="n">
        <f aca="false">YEARFRAC(W109,X109,1)</f>
        <v>86.403832991102</v>
      </c>
      <c r="W109" s="34" t="n">
        <f aca="false">DATE(M109,N109,O109)</f>
        <v>14483</v>
      </c>
      <c r="X109" s="34" t="n">
        <f aca="true">TODAY()</f>
        <v>46042</v>
      </c>
    </row>
    <row r="110" customFormat="false" ht="15" hidden="false" customHeight="false" outlineLevel="0" collapsed="false">
      <c r="A110" s="23" t="n">
        <v>112</v>
      </c>
      <c r="B110" s="23" t="s">
        <v>360</v>
      </c>
      <c r="C110" s="23" t="s">
        <v>523</v>
      </c>
      <c r="D110" s="23" t="s">
        <v>91</v>
      </c>
      <c r="E110" s="23" t="s">
        <v>92</v>
      </c>
      <c r="F110" s="23" t="s">
        <v>524</v>
      </c>
      <c r="G110" s="23" t="s">
        <v>360</v>
      </c>
      <c r="H110" s="32" t="s">
        <v>45</v>
      </c>
      <c r="I110" s="23" t="s">
        <v>37</v>
      </c>
      <c r="J110" s="23" t="s">
        <v>525</v>
      </c>
      <c r="K110" s="23" t="s">
        <v>526</v>
      </c>
      <c r="L110" s="23" t="n">
        <v>15600</v>
      </c>
      <c r="M110" s="23" t="n">
        <v>1955</v>
      </c>
      <c r="N110" s="23" t="n">
        <v>10</v>
      </c>
      <c r="O110" s="23" t="n">
        <v>1</v>
      </c>
      <c r="P110" s="23" t="n">
        <v>180.44</v>
      </c>
      <c r="Q110" s="24" t="n">
        <v>2611000000000</v>
      </c>
      <c r="R110" s="23" t="n">
        <v>69.4</v>
      </c>
      <c r="S110" s="23" t="n">
        <v>11.2</v>
      </c>
      <c r="T110" s="23" t="n">
        <v>49.7</v>
      </c>
      <c r="U110" s="23" t="n">
        <v>1366417754</v>
      </c>
      <c r="V110" s="33" t="n">
        <f aca="false">YEARFRAC(W110,X110,1)</f>
        <v>70.3052703627652</v>
      </c>
      <c r="W110" s="34" t="n">
        <f aca="false">DATE(M110,N110,O110)</f>
        <v>20363</v>
      </c>
      <c r="X110" s="34" t="n">
        <f aca="true">TODAY()</f>
        <v>46042</v>
      </c>
    </row>
    <row r="111" customFormat="false" ht="15" hidden="false" customHeight="false" outlineLevel="0" collapsed="false">
      <c r="A111" s="23" t="n">
        <v>113</v>
      </c>
      <c r="B111" s="23" t="s">
        <v>49</v>
      </c>
      <c r="C111" s="23" t="s">
        <v>527</v>
      </c>
      <c r="D111" s="23" t="s">
        <v>42</v>
      </c>
      <c r="E111" s="23" t="s">
        <v>528</v>
      </c>
      <c r="F111" s="23" t="s">
        <v>529</v>
      </c>
      <c r="G111" s="23" t="s">
        <v>49</v>
      </c>
      <c r="H111" s="32" t="s">
        <v>45</v>
      </c>
      <c r="I111" s="23" t="s">
        <v>37</v>
      </c>
      <c r="J111" s="23" t="s">
        <v>530</v>
      </c>
      <c r="K111" s="23" t="s">
        <v>531</v>
      </c>
      <c r="L111" s="23" t="n">
        <v>15500</v>
      </c>
      <c r="M111" s="23" t="n">
        <v>1978</v>
      </c>
      <c r="N111" s="23" t="n">
        <v>3</v>
      </c>
      <c r="O111" s="23" t="n">
        <v>10</v>
      </c>
      <c r="P111" s="23" t="n">
        <v>117.24</v>
      </c>
      <c r="Q111" s="24" t="n">
        <v>21427700000000</v>
      </c>
      <c r="R111" s="23" t="n">
        <v>78.5</v>
      </c>
      <c r="S111" s="23" t="n">
        <v>9.6</v>
      </c>
      <c r="T111" s="23" t="n">
        <v>36.6</v>
      </c>
      <c r="U111" s="23" t="n">
        <v>328239523</v>
      </c>
      <c r="V111" s="33" t="n">
        <f aca="false">YEARFRAC(W111,X111,1)</f>
        <v>47.866513940884</v>
      </c>
      <c r="W111" s="34" t="n">
        <f aca="false">DATE(M111,N111,O111)</f>
        <v>28559</v>
      </c>
      <c r="X111" s="34" t="n">
        <f aca="true">TODAY()</f>
        <v>46042</v>
      </c>
    </row>
    <row r="112" customFormat="false" ht="15" hidden="false" customHeight="false" outlineLevel="0" collapsed="false">
      <c r="A112" s="23" t="n">
        <v>114</v>
      </c>
      <c r="B112" s="23" t="s">
        <v>31</v>
      </c>
      <c r="C112" s="23" t="s">
        <v>532</v>
      </c>
      <c r="D112" s="23" t="s">
        <v>91</v>
      </c>
      <c r="E112" s="23" t="s">
        <v>92</v>
      </c>
      <c r="F112" s="23" t="s">
        <v>533</v>
      </c>
      <c r="G112" s="23" t="s">
        <v>31</v>
      </c>
      <c r="H112" s="32" t="s">
        <v>45</v>
      </c>
      <c r="I112" s="23" t="s">
        <v>37</v>
      </c>
      <c r="J112" s="23" t="s">
        <v>534</v>
      </c>
      <c r="K112" s="23" t="s">
        <v>535</v>
      </c>
      <c r="L112" s="23" t="n">
        <v>15300</v>
      </c>
      <c r="M112" s="23" t="n">
        <v>1955</v>
      </c>
      <c r="N112" s="23" t="n">
        <v>1</v>
      </c>
      <c r="O112" s="23" t="n">
        <v>1</v>
      </c>
      <c r="P112" s="23" t="n">
        <v>180.44</v>
      </c>
      <c r="Q112" s="24" t="n">
        <v>2611000000000</v>
      </c>
      <c r="R112" s="23" t="n">
        <v>69.4</v>
      </c>
      <c r="S112" s="23" t="n">
        <v>11.2</v>
      </c>
      <c r="T112" s="23" t="n">
        <v>49.7</v>
      </c>
      <c r="U112" s="23" t="n">
        <v>1366417754</v>
      </c>
      <c r="V112" s="33" t="n">
        <f aca="false">YEARFRAC(W112,X112,1)</f>
        <v>71.0527036276523</v>
      </c>
      <c r="W112" s="34" t="n">
        <f aca="false">DATE(M112,N112,O112)</f>
        <v>20090</v>
      </c>
      <c r="X112" s="34" t="n">
        <f aca="true">TODAY()</f>
        <v>46042</v>
      </c>
    </row>
    <row r="113" customFormat="false" ht="15" hidden="false" customHeight="false" outlineLevel="0" collapsed="false">
      <c r="A113" s="23" t="n">
        <v>115</v>
      </c>
      <c r="B113" s="23" t="s">
        <v>40</v>
      </c>
      <c r="C113" s="23" t="s">
        <v>536</v>
      </c>
      <c r="D113" s="23" t="s">
        <v>126</v>
      </c>
      <c r="E113" s="23" t="s">
        <v>230</v>
      </c>
      <c r="F113" s="23" t="s">
        <v>231</v>
      </c>
      <c r="G113" s="23" t="s">
        <v>40</v>
      </c>
      <c r="H113" s="32" t="s">
        <v>45</v>
      </c>
      <c r="I113" s="23" t="s">
        <v>37</v>
      </c>
      <c r="J113" s="23" t="s">
        <v>262</v>
      </c>
      <c r="K113" s="23" t="s">
        <v>537</v>
      </c>
      <c r="L113" s="23" t="n">
        <v>15200</v>
      </c>
      <c r="M113" s="23" t="n">
        <v>1967</v>
      </c>
      <c r="N113" s="23" t="n">
        <v>1</v>
      </c>
      <c r="O113" s="23" t="n">
        <v>1</v>
      </c>
      <c r="P113" s="23" t="n">
        <v>125.08</v>
      </c>
      <c r="Q113" s="24" t="n">
        <v>19910000000000</v>
      </c>
      <c r="R113" s="23" t="n">
        <v>77</v>
      </c>
      <c r="S113" s="23" t="n">
        <v>9.4</v>
      </c>
      <c r="T113" s="23" t="n">
        <v>59.2</v>
      </c>
      <c r="U113" s="23" t="n">
        <v>1397715000</v>
      </c>
      <c r="V113" s="33" t="n">
        <f aca="false">YEARFRAC(W113,X113,1)</f>
        <v>59.0527036276523</v>
      </c>
      <c r="W113" s="34" t="n">
        <f aca="false">DATE(M113,N113,O113)</f>
        <v>24473</v>
      </c>
      <c r="X113" s="34" t="n">
        <f aca="true">TODAY()</f>
        <v>46042</v>
      </c>
    </row>
    <row r="114" customFormat="false" ht="15" hidden="false" customHeight="false" outlineLevel="0" collapsed="false">
      <c r="A114" s="23" t="n">
        <v>116</v>
      </c>
      <c r="B114" s="23" t="s">
        <v>89</v>
      </c>
      <c r="C114" s="23" t="s">
        <v>538</v>
      </c>
      <c r="D114" s="23" t="s">
        <v>539</v>
      </c>
      <c r="E114" s="23" t="s">
        <v>540</v>
      </c>
      <c r="F114" s="23" t="s">
        <v>89</v>
      </c>
      <c r="G114" s="23" t="s">
        <v>89</v>
      </c>
      <c r="H114" s="32" t="s">
        <v>36</v>
      </c>
      <c r="I114" s="23" t="s">
        <v>37</v>
      </c>
      <c r="J114" s="23" t="s">
        <v>541</v>
      </c>
      <c r="K114" s="23" t="s">
        <v>542</v>
      </c>
      <c r="L114" s="23" t="n">
        <v>14900</v>
      </c>
      <c r="M114" s="23" t="n">
        <v>1939</v>
      </c>
      <c r="N114" s="23" t="n">
        <v>4</v>
      </c>
      <c r="O114" s="23" t="n">
        <v>19</v>
      </c>
      <c r="P114" s="23" t="n">
        <v>113.27</v>
      </c>
      <c r="Q114" s="24" t="n">
        <v>543649976166</v>
      </c>
      <c r="R114" s="23" t="n">
        <v>76.9</v>
      </c>
      <c r="S114" s="23" t="n">
        <v>14.9</v>
      </c>
      <c r="T114" s="23" t="n">
        <v>29.5</v>
      </c>
      <c r="U114" s="23" t="n">
        <v>69625582</v>
      </c>
      <c r="V114" s="33" t="n">
        <f aca="false">YEARFRAC(W114,X114,1)</f>
        <v>86.757015742642</v>
      </c>
      <c r="W114" s="34" t="n">
        <f aca="false">DATE(M114,N114,O114)</f>
        <v>14354</v>
      </c>
      <c r="X114" s="34" t="n">
        <f aca="true">TODAY()</f>
        <v>46042</v>
      </c>
    </row>
    <row r="115" customFormat="false" ht="15" hidden="false" customHeight="false" outlineLevel="0" collapsed="false">
      <c r="A115" s="23" t="n">
        <v>116</v>
      </c>
      <c r="B115" s="23" t="s">
        <v>31</v>
      </c>
      <c r="C115" s="23" t="s">
        <v>543</v>
      </c>
      <c r="D115" s="23" t="s">
        <v>42</v>
      </c>
      <c r="E115" s="23" t="s">
        <v>442</v>
      </c>
      <c r="F115" s="23" t="s">
        <v>180</v>
      </c>
      <c r="G115" s="23" t="s">
        <v>31</v>
      </c>
      <c r="H115" s="32" t="s">
        <v>45</v>
      </c>
      <c r="I115" s="23" t="s">
        <v>37</v>
      </c>
      <c r="J115" s="23" t="s">
        <v>544</v>
      </c>
      <c r="K115" s="23" t="s">
        <v>158</v>
      </c>
      <c r="L115" s="23" t="n">
        <v>14900</v>
      </c>
      <c r="M115" s="23" t="n">
        <v>1941</v>
      </c>
      <c r="N115" s="23" t="n">
        <v>11</v>
      </c>
      <c r="O115" s="23" t="n">
        <v>13</v>
      </c>
      <c r="P115" s="23" t="n">
        <v>117.24</v>
      </c>
      <c r="Q115" s="24" t="n">
        <v>21427700000000</v>
      </c>
      <c r="R115" s="23" t="n">
        <v>78.5</v>
      </c>
      <c r="S115" s="23" t="n">
        <v>9.6</v>
      </c>
      <c r="T115" s="23" t="n">
        <v>36.6</v>
      </c>
      <c r="U115" s="23" t="n">
        <v>328239523</v>
      </c>
      <c r="V115" s="33" t="n">
        <f aca="false">YEARFRAC(W115,X115,1)</f>
        <v>84.1875139282417</v>
      </c>
      <c r="W115" s="34" t="n">
        <f aca="false">DATE(M115,N115,O115)</f>
        <v>15293</v>
      </c>
      <c r="X115" s="34" t="n">
        <f aca="true">TODAY()</f>
        <v>46042</v>
      </c>
    </row>
    <row r="116" customFormat="false" ht="15" hidden="false" customHeight="false" outlineLevel="0" collapsed="false">
      <c r="A116" s="23" t="n">
        <v>118</v>
      </c>
      <c r="B116" s="23" t="s">
        <v>124</v>
      </c>
      <c r="C116" s="23" t="s">
        <v>545</v>
      </c>
      <c r="D116" s="23" t="s">
        <v>539</v>
      </c>
      <c r="E116" s="23" t="s">
        <v>540</v>
      </c>
      <c r="F116" s="23" t="s">
        <v>546</v>
      </c>
      <c r="G116" s="23" t="s">
        <v>124</v>
      </c>
      <c r="H116" s="32" t="s">
        <v>45</v>
      </c>
      <c r="I116" s="23" t="s">
        <v>37</v>
      </c>
      <c r="J116" s="23" t="s">
        <v>547</v>
      </c>
      <c r="K116" s="23" t="s">
        <v>548</v>
      </c>
      <c r="L116" s="23" t="n">
        <v>14800</v>
      </c>
      <c r="M116" s="23" t="n">
        <v>1944</v>
      </c>
      <c r="N116" s="23" t="n">
        <v>5</v>
      </c>
      <c r="O116" s="23" t="n">
        <v>2</v>
      </c>
      <c r="P116" s="23" t="n">
        <v>113.27</v>
      </c>
      <c r="Q116" s="24" t="n">
        <v>543649976166</v>
      </c>
      <c r="R116" s="23" t="n">
        <v>76.9</v>
      </c>
      <c r="S116" s="23" t="n">
        <v>14.9</v>
      </c>
      <c r="T116" s="23" t="n">
        <v>29.5</v>
      </c>
      <c r="U116" s="23" t="n">
        <v>69625582</v>
      </c>
      <c r="V116" s="33" t="n">
        <f aca="false">YEARFRAC(W116,X116,1)</f>
        <v>81.7186963979417</v>
      </c>
      <c r="W116" s="34" t="n">
        <f aca="false">DATE(M116,N116,O116)</f>
        <v>16194</v>
      </c>
      <c r="X116" s="34" t="n">
        <f aca="true">TODAY()</f>
        <v>46042</v>
      </c>
    </row>
    <row r="117" customFormat="false" ht="15" hidden="false" customHeight="false" outlineLevel="0" collapsed="false">
      <c r="A117" s="23" t="n">
        <v>119</v>
      </c>
      <c r="B117" s="23" t="s">
        <v>124</v>
      </c>
      <c r="C117" s="23" t="s">
        <v>549</v>
      </c>
      <c r="D117" s="23" t="s">
        <v>241</v>
      </c>
      <c r="E117" s="23" t="s">
        <v>242</v>
      </c>
      <c r="F117" s="23" t="s">
        <v>550</v>
      </c>
      <c r="G117" s="23" t="s">
        <v>124</v>
      </c>
      <c r="H117" s="32" t="s">
        <v>36</v>
      </c>
      <c r="I117" s="23" t="s">
        <v>103</v>
      </c>
      <c r="J117" s="23" t="s">
        <v>551</v>
      </c>
      <c r="K117" s="23" t="s">
        <v>552</v>
      </c>
      <c r="L117" s="23" t="n">
        <v>14700</v>
      </c>
      <c r="M117" s="23" t="n">
        <v>1954</v>
      </c>
      <c r="N117" s="23" t="n">
        <v>6</v>
      </c>
      <c r="O117" s="23" t="n">
        <v>30</v>
      </c>
      <c r="P117" s="23" t="n">
        <v>119.62</v>
      </c>
      <c r="Q117" s="24" t="n">
        <v>2827113184696</v>
      </c>
      <c r="R117" s="23" t="n">
        <v>81.3</v>
      </c>
      <c r="S117" s="23" t="n">
        <v>25.5</v>
      </c>
      <c r="T117" s="23" t="n">
        <v>30.6</v>
      </c>
      <c r="U117" s="23" t="n">
        <v>66834405</v>
      </c>
      <c r="V117" s="33" t="n">
        <f aca="false">YEARFRAC(W117,X117,1)</f>
        <v>71.5598769830852</v>
      </c>
      <c r="W117" s="34" t="n">
        <f aca="false">DATE(M117,N117,O117)</f>
        <v>19905</v>
      </c>
      <c r="X117" s="34" t="n">
        <f aca="true">TODAY()</f>
        <v>46042</v>
      </c>
    </row>
    <row r="118" customFormat="false" ht="15" hidden="false" customHeight="false" outlineLevel="0" collapsed="false">
      <c r="A118" s="23" t="n">
        <v>120</v>
      </c>
      <c r="B118" s="23" t="s">
        <v>360</v>
      </c>
      <c r="C118" s="23" t="s">
        <v>553</v>
      </c>
      <c r="D118" s="23" t="s">
        <v>126</v>
      </c>
      <c r="E118" s="23" t="s">
        <v>209</v>
      </c>
      <c r="F118" s="23" t="s">
        <v>554</v>
      </c>
      <c r="G118" s="23" t="s">
        <v>360</v>
      </c>
      <c r="H118" s="32" t="s">
        <v>45</v>
      </c>
      <c r="I118" s="23" t="s">
        <v>37</v>
      </c>
      <c r="J118" s="23" t="s">
        <v>555</v>
      </c>
      <c r="K118" s="23" t="s">
        <v>556</v>
      </c>
      <c r="L118" s="23" t="n">
        <v>14600</v>
      </c>
      <c r="M118" s="23" t="n">
        <v>1962</v>
      </c>
      <c r="N118" s="23" t="n">
        <v>5</v>
      </c>
      <c r="O118" s="23" t="n">
        <v>22</v>
      </c>
      <c r="P118" s="23" t="n">
        <v>125.08</v>
      </c>
      <c r="Q118" s="24" t="n">
        <v>19910000000000</v>
      </c>
      <c r="R118" s="23" t="n">
        <v>77</v>
      </c>
      <c r="S118" s="23" t="n">
        <v>9.4</v>
      </c>
      <c r="T118" s="23" t="n">
        <v>59.2</v>
      </c>
      <c r="U118" s="23" t="n">
        <v>1397715000</v>
      </c>
      <c r="V118" s="33" t="n">
        <f aca="false">YEARFRAC(W118,X118,1)</f>
        <v>63.6666526262584</v>
      </c>
      <c r="W118" s="34" t="n">
        <f aca="false">DATE(M118,N118,O118)</f>
        <v>22788</v>
      </c>
      <c r="X118" s="34" t="n">
        <f aca="true">TODAY()</f>
        <v>46042</v>
      </c>
    </row>
    <row r="119" customFormat="false" ht="15" hidden="false" customHeight="false" outlineLevel="0" collapsed="false">
      <c r="A119" s="23" t="n">
        <v>121</v>
      </c>
      <c r="B119" s="23" t="s">
        <v>40</v>
      </c>
      <c r="C119" s="23" t="s">
        <v>557</v>
      </c>
      <c r="D119" s="23" t="s">
        <v>126</v>
      </c>
      <c r="E119" s="23" t="s">
        <v>558</v>
      </c>
      <c r="F119" s="23" t="s">
        <v>427</v>
      </c>
      <c r="G119" s="23" t="s">
        <v>40</v>
      </c>
      <c r="H119" s="32" t="s">
        <v>45</v>
      </c>
      <c r="I119" s="23" t="s">
        <v>37</v>
      </c>
      <c r="J119" s="23" t="s">
        <v>394</v>
      </c>
      <c r="K119" s="23" t="s">
        <v>559</v>
      </c>
      <c r="L119" s="23" t="n">
        <v>14500</v>
      </c>
      <c r="M119" s="23" t="n">
        <v>1964</v>
      </c>
      <c r="N119" s="23" t="n">
        <v>3</v>
      </c>
      <c r="O119" s="23" t="n">
        <v>1</v>
      </c>
      <c r="P119" s="23" t="n">
        <v>125.08</v>
      </c>
      <c r="Q119" s="24" t="n">
        <v>19910000000000</v>
      </c>
      <c r="R119" s="23" t="n">
        <v>77</v>
      </c>
      <c r="S119" s="23" t="n">
        <v>9.4</v>
      </c>
      <c r="T119" s="23" t="n">
        <v>59.2</v>
      </c>
      <c r="U119" s="23" t="n">
        <v>1397715000</v>
      </c>
      <c r="V119" s="33" t="n">
        <f aca="false">YEARFRAC(W119,X119,1)</f>
        <v>61.8884446569032</v>
      </c>
      <c r="W119" s="34" t="n">
        <f aca="false">DATE(M119,N119,O119)</f>
        <v>23437</v>
      </c>
      <c r="X119" s="34" t="n">
        <f aca="true">TODAY()</f>
        <v>46042</v>
      </c>
    </row>
    <row r="120" customFormat="false" ht="15" hidden="false" customHeight="false" outlineLevel="0" collapsed="false">
      <c r="A120" s="23" t="n">
        <v>123</v>
      </c>
      <c r="B120" s="23" t="s">
        <v>264</v>
      </c>
      <c r="C120" s="23" t="s">
        <v>560</v>
      </c>
      <c r="D120" s="23" t="s">
        <v>561</v>
      </c>
      <c r="E120" s="23" t="s">
        <v>561</v>
      </c>
      <c r="F120" s="23" t="s">
        <v>562</v>
      </c>
      <c r="G120" s="23" t="s">
        <v>264</v>
      </c>
      <c r="H120" s="32" t="s">
        <v>45</v>
      </c>
      <c r="I120" s="23" t="s">
        <v>37</v>
      </c>
      <c r="J120" s="23" t="s">
        <v>563</v>
      </c>
      <c r="K120" s="23" t="s">
        <v>564</v>
      </c>
      <c r="L120" s="23" t="n">
        <v>14300</v>
      </c>
      <c r="M120" s="23" t="n">
        <v>1927</v>
      </c>
      <c r="N120" s="23" t="n">
        <v>6</v>
      </c>
      <c r="O120" s="23" t="n">
        <v>27</v>
      </c>
      <c r="P120" s="23" t="n">
        <v>114.41</v>
      </c>
      <c r="Q120" s="24" t="n">
        <v>372062527489</v>
      </c>
      <c r="R120" s="23" t="n">
        <v>83.1</v>
      </c>
      <c r="S120" s="23" t="n">
        <v>13.1</v>
      </c>
      <c r="T120" s="23" t="n">
        <v>21</v>
      </c>
      <c r="U120" s="23" t="n">
        <v>5703569</v>
      </c>
      <c r="V120" s="33" t="n">
        <f aca="false">YEARFRAC(W120,X120,1)</f>
        <v>98.5681040383299</v>
      </c>
      <c r="W120" s="26" t="n">
        <f aca="false">DATE(M120,N120,O120)</f>
        <v>10040</v>
      </c>
      <c r="X120" s="26" t="n">
        <f aca="true">TODAY()</f>
        <v>46042</v>
      </c>
    </row>
    <row r="121" customFormat="false" ht="15" hidden="false" customHeight="false" outlineLevel="0" collapsed="false">
      <c r="A121" s="23" t="n">
        <v>124</v>
      </c>
      <c r="B121" s="23" t="s">
        <v>89</v>
      </c>
      <c r="C121" s="23" t="s">
        <v>565</v>
      </c>
      <c r="D121" s="23" t="s">
        <v>91</v>
      </c>
      <c r="E121" s="23" t="s">
        <v>92</v>
      </c>
      <c r="F121" s="23" t="s">
        <v>566</v>
      </c>
      <c r="G121" s="23" t="s">
        <v>89</v>
      </c>
      <c r="H121" s="32" t="s">
        <v>36</v>
      </c>
      <c r="I121" s="23" t="s">
        <v>37</v>
      </c>
      <c r="J121" s="23" t="s">
        <v>567</v>
      </c>
      <c r="K121" s="23" t="s">
        <v>568</v>
      </c>
      <c r="L121" s="23" t="n">
        <v>14200</v>
      </c>
      <c r="M121" s="23" t="n">
        <v>1967</v>
      </c>
      <c r="N121" s="23" t="n">
        <v>6</v>
      </c>
      <c r="O121" s="23" t="n">
        <v>14</v>
      </c>
      <c r="P121" s="23" t="n">
        <v>180.44</v>
      </c>
      <c r="Q121" s="24" t="n">
        <v>2611000000000</v>
      </c>
      <c r="R121" s="23" t="n">
        <v>69.4</v>
      </c>
      <c r="S121" s="23" t="n">
        <v>11.2</v>
      </c>
      <c r="T121" s="23" t="n">
        <v>49.7</v>
      </c>
      <c r="U121" s="23" t="n">
        <v>1366417754</v>
      </c>
      <c r="V121" s="33" t="n">
        <f aca="false">YEARFRAC(W121,X121,1)</f>
        <v>58.6036960985626</v>
      </c>
      <c r="W121" s="26" t="n">
        <f aca="false">DATE(M121,N121,O121)</f>
        <v>24637</v>
      </c>
      <c r="X121" s="26" t="n">
        <f aca="true">TODAY()</f>
        <v>46042</v>
      </c>
    </row>
    <row r="122" customFormat="false" ht="15" hidden="false" customHeight="false" outlineLevel="0" collapsed="false">
      <c r="A122" s="23" t="n">
        <v>124</v>
      </c>
      <c r="B122" s="23" t="s">
        <v>264</v>
      </c>
      <c r="C122" s="23" t="s">
        <v>569</v>
      </c>
      <c r="D122" s="23" t="s">
        <v>570</v>
      </c>
      <c r="E122" s="23" t="s">
        <v>571</v>
      </c>
      <c r="F122" s="23" t="s">
        <v>572</v>
      </c>
      <c r="G122" s="23" t="s">
        <v>264</v>
      </c>
      <c r="H122" s="32" t="s">
        <v>45</v>
      </c>
      <c r="I122" s="23" t="s">
        <v>37</v>
      </c>
      <c r="J122" s="23" t="s">
        <v>573</v>
      </c>
      <c r="K122" s="23" t="s">
        <v>574</v>
      </c>
      <c r="L122" s="23" t="n">
        <v>14200</v>
      </c>
      <c r="M122" s="23" t="n">
        <v>1957</v>
      </c>
      <c r="N122" s="23" t="n">
        <v>4</v>
      </c>
      <c r="O122" s="23" t="n">
        <v>10</v>
      </c>
      <c r="P122" s="23" t="n">
        <v>267.51</v>
      </c>
      <c r="Q122" s="24" t="n">
        <v>448120428859</v>
      </c>
      <c r="R122" s="23" t="n">
        <v>54.3</v>
      </c>
      <c r="S122" s="23" t="n">
        <v>1.5</v>
      </c>
      <c r="T122" s="23" t="n">
        <v>34.8</v>
      </c>
      <c r="U122" s="23" t="n">
        <v>200963599</v>
      </c>
      <c r="V122" s="33" t="n">
        <f aca="false">YEARFRAC(W122,X122,1)</f>
        <v>68.7816325732389</v>
      </c>
      <c r="W122" s="26" t="n">
        <f aca="false">DATE(M122,N122,O122)</f>
        <v>20920</v>
      </c>
      <c r="X122" s="26" t="n">
        <f aca="true">TODAY()</f>
        <v>46042</v>
      </c>
    </row>
    <row r="123" customFormat="false" ht="15" hidden="false" customHeight="false" outlineLevel="0" collapsed="false">
      <c r="A123" s="23" t="n">
        <v>127</v>
      </c>
      <c r="B123" s="23" t="s">
        <v>89</v>
      </c>
      <c r="C123" s="23" t="s">
        <v>575</v>
      </c>
      <c r="D123" s="23" t="s">
        <v>241</v>
      </c>
      <c r="E123" s="23" t="s">
        <v>242</v>
      </c>
      <c r="F123" s="23" t="s">
        <v>191</v>
      </c>
      <c r="G123" s="23" t="s">
        <v>89</v>
      </c>
      <c r="H123" s="32" t="s">
        <v>36</v>
      </c>
      <c r="I123" s="23" t="s">
        <v>37</v>
      </c>
      <c r="J123" s="23" t="s">
        <v>576</v>
      </c>
      <c r="K123" s="23" t="s">
        <v>577</v>
      </c>
      <c r="L123" s="23" t="n">
        <v>14000</v>
      </c>
      <c r="M123" s="23" t="n">
        <v>1955</v>
      </c>
      <c r="N123" s="23" t="n">
        <v>10</v>
      </c>
      <c r="O123" s="23" t="n">
        <v>2</v>
      </c>
      <c r="P123" s="23" t="n">
        <v>119.62</v>
      </c>
      <c r="Q123" s="24" t="n">
        <v>2827113184696</v>
      </c>
      <c r="R123" s="23" t="n">
        <v>81.3</v>
      </c>
      <c r="S123" s="23" t="n">
        <v>25.5</v>
      </c>
      <c r="T123" s="23" t="n">
        <v>30.6</v>
      </c>
      <c r="U123" s="23" t="n">
        <v>66834405</v>
      </c>
      <c r="V123" s="33" t="n">
        <f aca="false">YEARFRAC(W123,X123,1)</f>
        <v>70.3025325119781</v>
      </c>
      <c r="W123" s="26" t="n">
        <f aca="false">DATE(M123,N123,O123)</f>
        <v>20364</v>
      </c>
      <c r="X123" s="26" t="n">
        <f aca="true">TODAY()</f>
        <v>46042</v>
      </c>
    </row>
    <row r="124" customFormat="false" ht="15" hidden="false" customHeight="false" outlineLevel="0" collapsed="false">
      <c r="A124" s="23" t="n">
        <v>128</v>
      </c>
      <c r="B124" s="23" t="s">
        <v>360</v>
      </c>
      <c r="C124" s="23" t="s">
        <v>578</v>
      </c>
      <c r="D124" s="23" t="s">
        <v>126</v>
      </c>
      <c r="E124" s="23" t="s">
        <v>579</v>
      </c>
      <c r="F124" s="23" t="s">
        <v>417</v>
      </c>
      <c r="G124" s="23" t="s">
        <v>360</v>
      </c>
      <c r="H124" s="32" t="s">
        <v>45</v>
      </c>
      <c r="I124" s="23" t="s">
        <v>37</v>
      </c>
      <c r="J124" s="23" t="s">
        <v>580</v>
      </c>
      <c r="K124" s="23" t="s">
        <v>581</v>
      </c>
      <c r="L124" s="23" t="n">
        <v>13900</v>
      </c>
      <c r="M124" s="23" t="n">
        <v>1965</v>
      </c>
      <c r="N124" s="23" t="n">
        <v>9</v>
      </c>
      <c r="O124" s="23" t="n">
        <v>1</v>
      </c>
      <c r="P124" s="23" t="n">
        <v>125.08</v>
      </c>
      <c r="Q124" s="24" t="n">
        <v>19910000000000</v>
      </c>
      <c r="R124" s="23" t="n">
        <v>77</v>
      </c>
      <c r="S124" s="23" t="n">
        <v>9.4</v>
      </c>
      <c r="T124" s="23" t="n">
        <v>59.2</v>
      </c>
      <c r="U124" s="23" t="n">
        <v>1397715000</v>
      </c>
      <c r="V124" s="33" t="n">
        <f aca="false">YEARFRAC(W124,X124,1)</f>
        <v>60.3873702804151</v>
      </c>
      <c r="W124" s="26" t="n">
        <f aca="false">DATE(M124,N124,O124)</f>
        <v>23986</v>
      </c>
      <c r="X124" s="26" t="n">
        <f aca="true">TODAY()</f>
        <v>46042</v>
      </c>
    </row>
    <row r="125" customFormat="false" ht="15" hidden="false" customHeight="false" outlineLevel="0" collapsed="false">
      <c r="A125" s="23" t="n">
        <v>130</v>
      </c>
      <c r="B125" s="23" t="s">
        <v>187</v>
      </c>
      <c r="C125" s="23" t="s">
        <v>582</v>
      </c>
      <c r="D125" s="23" t="s">
        <v>241</v>
      </c>
      <c r="E125" s="23" t="s">
        <v>242</v>
      </c>
      <c r="F125" s="23" t="s">
        <v>191</v>
      </c>
      <c r="G125" s="23" t="s">
        <v>187</v>
      </c>
      <c r="H125" s="32" t="s">
        <v>45</v>
      </c>
      <c r="I125" s="23" t="s">
        <v>37</v>
      </c>
      <c r="J125" s="23" t="s">
        <v>583</v>
      </c>
      <c r="K125" s="23" t="s">
        <v>207</v>
      </c>
      <c r="L125" s="23" t="n">
        <v>13700</v>
      </c>
      <c r="M125" s="23" t="n">
        <v>1945</v>
      </c>
      <c r="N125" s="23" t="n">
        <v>2</v>
      </c>
      <c r="O125" s="23" t="n">
        <v>1</v>
      </c>
      <c r="P125" s="23" t="n">
        <v>119.62</v>
      </c>
      <c r="Q125" s="24" t="n">
        <v>2827113184696</v>
      </c>
      <c r="R125" s="23" t="n">
        <v>81.3</v>
      </c>
      <c r="S125" s="23" t="n">
        <v>25.5</v>
      </c>
      <c r="T125" s="23" t="n">
        <v>30.6</v>
      </c>
      <c r="U125" s="23" t="n">
        <v>66834405</v>
      </c>
      <c r="V125" s="33" t="n">
        <f aca="false">YEARFRAC(W125,X125,1)</f>
        <v>80.9678130217028</v>
      </c>
      <c r="W125" s="26" t="n">
        <f aca="false">DATE(M125,N125,O125)</f>
        <v>16469</v>
      </c>
      <c r="X125" s="26" t="n">
        <f aca="true">TODAY()</f>
        <v>46042</v>
      </c>
    </row>
    <row r="126" customFormat="false" ht="15" hidden="false" customHeight="false" outlineLevel="0" collapsed="false">
      <c r="A126" s="23" t="n">
        <v>130</v>
      </c>
      <c r="B126" s="23" t="s">
        <v>584</v>
      </c>
      <c r="C126" s="23" t="s">
        <v>585</v>
      </c>
      <c r="D126" s="23" t="s">
        <v>42</v>
      </c>
      <c r="E126" s="23" t="s">
        <v>586</v>
      </c>
      <c r="F126" s="23" t="s">
        <v>587</v>
      </c>
      <c r="G126" s="23" t="s">
        <v>584</v>
      </c>
      <c r="H126" s="32" t="s">
        <v>45</v>
      </c>
      <c r="I126" s="23" t="s">
        <v>103</v>
      </c>
      <c r="J126" s="23" t="s">
        <v>588</v>
      </c>
      <c r="K126" s="23" t="s">
        <v>589</v>
      </c>
      <c r="L126" s="23" t="n">
        <v>13700</v>
      </c>
      <c r="M126" s="23" t="n">
        <v>1947</v>
      </c>
      <c r="N126" s="23" t="n">
        <v>3</v>
      </c>
      <c r="O126" s="23" t="n">
        <v>2</v>
      </c>
      <c r="P126" s="23" t="n">
        <v>117.24</v>
      </c>
      <c r="Q126" s="24" t="n">
        <v>21427700000000</v>
      </c>
      <c r="R126" s="23" t="n">
        <v>78.5</v>
      </c>
      <c r="S126" s="23" t="n">
        <v>9.6</v>
      </c>
      <c r="T126" s="23" t="n">
        <v>36.6</v>
      </c>
      <c r="U126" s="23" t="n">
        <v>328239523</v>
      </c>
      <c r="V126" s="33" t="n">
        <f aca="false">YEARFRAC(W126,X126,1)</f>
        <v>78.8884325804244</v>
      </c>
      <c r="W126" s="26" t="n">
        <f aca="false">DATE(M126,N126,O126)</f>
        <v>17228</v>
      </c>
      <c r="X126" s="26" t="n">
        <f aca="true">TODAY()</f>
        <v>46042</v>
      </c>
    </row>
    <row r="127" customFormat="false" ht="15" hidden="false" customHeight="false" outlineLevel="0" collapsed="false">
      <c r="A127" s="23" t="n">
        <v>130</v>
      </c>
      <c r="B127" s="23" t="s">
        <v>49</v>
      </c>
      <c r="C127" s="23" t="s">
        <v>590</v>
      </c>
      <c r="D127" s="23" t="s">
        <v>42</v>
      </c>
      <c r="E127" s="23" t="s">
        <v>510</v>
      </c>
      <c r="F127" s="23" t="s">
        <v>591</v>
      </c>
      <c r="G127" s="23" t="s">
        <v>49</v>
      </c>
      <c r="H127" s="32" t="s">
        <v>45</v>
      </c>
      <c r="I127" s="23" t="s">
        <v>37</v>
      </c>
      <c r="J127" s="23" t="s">
        <v>592</v>
      </c>
      <c r="K127" s="23" t="s">
        <v>593</v>
      </c>
      <c r="L127" s="23" t="n">
        <v>13700</v>
      </c>
      <c r="M127" s="23" t="n">
        <v>1976</v>
      </c>
      <c r="N127" s="23" t="n">
        <v>2</v>
      </c>
      <c r="O127" s="23" t="n">
        <v>24</v>
      </c>
      <c r="P127" s="23" t="n">
        <v>117.24</v>
      </c>
      <c r="Q127" s="24" t="n">
        <v>21427700000000</v>
      </c>
      <c r="R127" s="23" t="n">
        <v>78.5</v>
      </c>
      <c r="S127" s="23" t="n">
        <v>9.6</v>
      </c>
      <c r="T127" s="23" t="n">
        <v>36.6</v>
      </c>
      <c r="U127" s="23" t="n">
        <v>328239523</v>
      </c>
      <c r="V127" s="33" t="n">
        <f aca="false">YEARFRAC(W127,X127,1)</f>
        <v>49.9048743826498</v>
      </c>
      <c r="W127" s="26" t="n">
        <f aca="false">DATE(M127,N127,O127)</f>
        <v>27814</v>
      </c>
      <c r="X127" s="26" t="n">
        <f aca="true">TODAY()</f>
        <v>46042</v>
      </c>
    </row>
    <row r="128" customFormat="false" ht="15" hidden="false" customHeight="false" outlineLevel="0" collapsed="false">
      <c r="A128" s="23" t="n">
        <v>133</v>
      </c>
      <c r="B128" s="23" t="s">
        <v>594</v>
      </c>
      <c r="C128" s="23" t="s">
        <v>595</v>
      </c>
      <c r="D128" s="23" t="s">
        <v>42</v>
      </c>
      <c r="E128" s="23" t="s">
        <v>596</v>
      </c>
      <c r="F128" s="23" t="s">
        <v>597</v>
      </c>
      <c r="G128" s="23" t="s">
        <v>594</v>
      </c>
      <c r="H128" s="32" t="s">
        <v>45</v>
      </c>
      <c r="I128" s="23" t="s">
        <v>37</v>
      </c>
      <c r="J128" s="23" t="s">
        <v>598</v>
      </c>
      <c r="K128" s="23" t="s">
        <v>599</v>
      </c>
      <c r="L128" s="23" t="n">
        <v>13300</v>
      </c>
      <c r="M128" s="23" t="n">
        <v>1942</v>
      </c>
      <c r="N128" s="23" t="n">
        <v>10</v>
      </c>
      <c r="O128" s="23" t="n">
        <v>13</v>
      </c>
      <c r="P128" s="23" t="n">
        <v>117.24</v>
      </c>
      <c r="Q128" s="24" t="n">
        <v>21427700000000</v>
      </c>
      <c r="R128" s="23" t="n">
        <v>78.5</v>
      </c>
      <c r="S128" s="23" t="n">
        <v>9.6</v>
      </c>
      <c r="T128" s="23" t="n">
        <v>36.6</v>
      </c>
      <c r="U128" s="23" t="n">
        <v>328239523</v>
      </c>
      <c r="V128" s="33" t="n">
        <f aca="false">YEARFRAC(W128,X128,1)</f>
        <v>83.2724022418347</v>
      </c>
      <c r="W128" s="26" t="n">
        <f aca="false">DATE(M128,N128,O128)</f>
        <v>15627</v>
      </c>
      <c r="X128" s="26" t="n">
        <f aca="true">TODAY()</f>
        <v>46042</v>
      </c>
    </row>
    <row r="129" customFormat="false" ht="15" hidden="false" customHeight="false" outlineLevel="0" collapsed="false">
      <c r="A129" s="23" t="n">
        <v>133</v>
      </c>
      <c r="B129" s="23" t="s">
        <v>305</v>
      </c>
      <c r="C129" s="23" t="s">
        <v>600</v>
      </c>
      <c r="D129" s="23" t="s">
        <v>42</v>
      </c>
      <c r="E129" s="23" t="s">
        <v>601</v>
      </c>
      <c r="F129" s="23" t="s">
        <v>602</v>
      </c>
      <c r="G129" s="23" t="s">
        <v>305</v>
      </c>
      <c r="H129" s="32" t="s">
        <v>36</v>
      </c>
      <c r="I129" s="23" t="s">
        <v>37</v>
      </c>
      <c r="J129" s="23" t="s">
        <v>603</v>
      </c>
      <c r="K129" s="23" t="s">
        <v>604</v>
      </c>
      <c r="L129" s="23" t="n">
        <v>13300</v>
      </c>
      <c r="M129" s="23" t="n">
        <v>1942</v>
      </c>
      <c r="N129" s="23" t="n">
        <v>7</v>
      </c>
      <c r="O129" s="23" t="n">
        <v>29</v>
      </c>
      <c r="P129" s="23" t="n">
        <v>117.24</v>
      </c>
      <c r="Q129" s="24" t="n">
        <v>21427700000000</v>
      </c>
      <c r="R129" s="23" t="n">
        <v>78.5</v>
      </c>
      <c r="S129" s="23" t="n">
        <v>9.6</v>
      </c>
      <c r="T129" s="23" t="n">
        <v>36.6</v>
      </c>
      <c r="U129" s="23" t="n">
        <v>328239523</v>
      </c>
      <c r="V129" s="33" t="n">
        <f aca="false">YEARFRAC(W129,X129,1)</f>
        <v>83.480480577208</v>
      </c>
      <c r="W129" s="26" t="n">
        <f aca="false">DATE(M129,N129,O129)</f>
        <v>15551</v>
      </c>
      <c r="X129" s="26" t="n">
        <f aca="true">TODAY()</f>
        <v>46042</v>
      </c>
    </row>
    <row r="130" customFormat="false" ht="15" hidden="false" customHeight="false" outlineLevel="0" collapsed="false">
      <c r="A130" s="23" t="n">
        <v>136</v>
      </c>
      <c r="B130" s="23" t="s">
        <v>40</v>
      </c>
      <c r="C130" s="23" t="s">
        <v>605</v>
      </c>
      <c r="D130" s="23" t="s">
        <v>126</v>
      </c>
      <c r="E130" s="23" t="s">
        <v>606</v>
      </c>
      <c r="F130" s="23" t="s">
        <v>607</v>
      </c>
      <c r="G130" s="23" t="s">
        <v>40</v>
      </c>
      <c r="H130" s="32" t="s">
        <v>45</v>
      </c>
      <c r="I130" s="23" t="s">
        <v>37</v>
      </c>
      <c r="J130" s="23" t="s">
        <v>608</v>
      </c>
      <c r="K130" s="23" t="s">
        <v>609</v>
      </c>
      <c r="L130" s="23" t="n">
        <v>13200</v>
      </c>
      <c r="M130" s="23" t="n">
        <v>1962</v>
      </c>
      <c r="N130" s="23" t="n">
        <v>12</v>
      </c>
      <c r="O130" s="23" t="n">
        <v>28</v>
      </c>
      <c r="P130" s="23" t="n">
        <v>125.08</v>
      </c>
      <c r="Q130" s="24" t="n">
        <v>19910000000000</v>
      </c>
      <c r="R130" s="23" t="n">
        <v>77</v>
      </c>
      <c r="S130" s="23" t="n">
        <v>9.4</v>
      </c>
      <c r="T130" s="23" t="n">
        <v>59.2</v>
      </c>
      <c r="U130" s="23" t="n">
        <v>1397715000</v>
      </c>
      <c r="V130" s="33" t="n">
        <f aca="false">YEARFRAC(W130,X130,1)</f>
        <v>63.0643191103997</v>
      </c>
      <c r="W130" s="26" t="n">
        <f aca="false">DATE(M130,N130,O130)</f>
        <v>23008</v>
      </c>
      <c r="X130" s="26" t="n">
        <f aca="true">TODAY()</f>
        <v>46042</v>
      </c>
    </row>
    <row r="131" customFormat="false" ht="15" hidden="false" customHeight="false" outlineLevel="0" collapsed="false">
      <c r="A131" s="23" t="n">
        <v>137</v>
      </c>
      <c r="B131" s="23" t="s">
        <v>471</v>
      </c>
      <c r="C131" s="23" t="s">
        <v>610</v>
      </c>
      <c r="D131" s="23" t="s">
        <v>288</v>
      </c>
      <c r="E131" s="23" t="s">
        <v>611</v>
      </c>
      <c r="F131" s="23" t="s">
        <v>474</v>
      </c>
      <c r="G131" s="23" t="s">
        <v>471</v>
      </c>
      <c r="H131" s="32" t="s">
        <v>45</v>
      </c>
      <c r="I131" s="23" t="s">
        <v>37</v>
      </c>
      <c r="J131" s="23" t="s">
        <v>612</v>
      </c>
      <c r="K131" s="23" t="s">
        <v>613</v>
      </c>
      <c r="L131" s="23" t="n">
        <v>13100</v>
      </c>
      <c r="M131" s="23" t="n">
        <v>1933</v>
      </c>
      <c r="N131" s="23" t="n">
        <v>3</v>
      </c>
      <c r="O131" s="23" t="n">
        <v>3</v>
      </c>
      <c r="P131" s="23" t="n">
        <v>119.8</v>
      </c>
      <c r="Q131" s="24" t="n">
        <v>1392680589329</v>
      </c>
      <c r="R131" s="23" t="n">
        <v>82.7</v>
      </c>
      <c r="S131" s="23" t="n">
        <v>23</v>
      </c>
      <c r="T131" s="23" t="n">
        <v>47.4</v>
      </c>
      <c r="U131" s="23" t="n">
        <v>25766605</v>
      </c>
      <c r="V131" s="33" t="n">
        <f aca="false">YEARFRAC(W131,X131,1)</f>
        <v>92.885678501733</v>
      </c>
      <c r="W131" s="26" t="n">
        <f aca="false">DATE(M131,N131,O131)</f>
        <v>12116</v>
      </c>
      <c r="X131" s="26" t="n">
        <f aca="true">TODAY()</f>
        <v>46042</v>
      </c>
    </row>
    <row r="132" customFormat="false" ht="15" hidden="false" customHeight="false" outlineLevel="0" collapsed="false">
      <c r="A132" s="23" t="n">
        <v>138</v>
      </c>
      <c r="B132" s="23" t="s">
        <v>62</v>
      </c>
      <c r="C132" s="23" t="s">
        <v>614</v>
      </c>
      <c r="D132" s="23" t="s">
        <v>91</v>
      </c>
      <c r="E132" s="23" t="s">
        <v>92</v>
      </c>
      <c r="F132" s="23" t="s">
        <v>487</v>
      </c>
      <c r="G132" s="23" t="s">
        <v>62</v>
      </c>
      <c r="H132" s="32" t="s">
        <v>45</v>
      </c>
      <c r="I132" s="23" t="s">
        <v>37</v>
      </c>
      <c r="J132" s="23" t="s">
        <v>615</v>
      </c>
      <c r="K132" s="23" t="s">
        <v>616</v>
      </c>
      <c r="L132" s="23" t="n">
        <v>12900</v>
      </c>
      <c r="M132" s="23" t="n">
        <v>1959</v>
      </c>
      <c r="N132" s="23" t="n">
        <v>3</v>
      </c>
      <c r="O132" s="23" t="n">
        <v>15</v>
      </c>
      <c r="P132" s="23" t="n">
        <v>180.44</v>
      </c>
      <c r="Q132" s="24" t="n">
        <v>2611000000000</v>
      </c>
      <c r="R132" s="23" t="n">
        <v>69.4</v>
      </c>
      <c r="S132" s="23" t="n">
        <v>11.2</v>
      </c>
      <c r="T132" s="23" t="n">
        <v>49.7</v>
      </c>
      <c r="U132" s="23" t="n">
        <v>1366417754</v>
      </c>
      <c r="V132" s="33" t="n">
        <f aca="false">YEARFRAC(W132,X132,1)</f>
        <v>66.8528405201917</v>
      </c>
      <c r="W132" s="26" t="n">
        <f aca="false">DATE(M132,N132,O132)</f>
        <v>21624</v>
      </c>
      <c r="X132" s="26" t="n">
        <f aca="true">TODAY()</f>
        <v>46042</v>
      </c>
    </row>
    <row r="133" customFormat="false" ht="15" hidden="false" customHeight="false" outlineLevel="0" collapsed="false">
      <c r="A133" s="23" t="n">
        <v>138</v>
      </c>
      <c r="B133" s="23" t="s">
        <v>594</v>
      </c>
      <c r="C133" s="23" t="s">
        <v>617</v>
      </c>
      <c r="D133" s="23" t="s">
        <v>42</v>
      </c>
      <c r="E133" s="23" t="s">
        <v>618</v>
      </c>
      <c r="F133" s="23" t="s">
        <v>619</v>
      </c>
      <c r="G133" s="23" t="s">
        <v>594</v>
      </c>
      <c r="H133" s="32" t="s">
        <v>45</v>
      </c>
      <c r="I133" s="23" t="s">
        <v>37</v>
      </c>
      <c r="J133" s="23" t="s">
        <v>620</v>
      </c>
      <c r="K133" s="23" t="s">
        <v>621</v>
      </c>
      <c r="L133" s="23" t="n">
        <v>12900</v>
      </c>
      <c r="M133" s="23" t="n">
        <v>1947</v>
      </c>
      <c r="N133" s="23" t="n">
        <v>7</v>
      </c>
      <c r="O133" s="23" t="n">
        <v>29</v>
      </c>
      <c r="P133" s="23" t="n">
        <v>117.24</v>
      </c>
      <c r="Q133" s="24" t="n">
        <v>21427700000000</v>
      </c>
      <c r="R133" s="23" t="n">
        <v>78.5</v>
      </c>
      <c r="S133" s="23" t="n">
        <v>9.6</v>
      </c>
      <c r="T133" s="23" t="n">
        <v>36.6</v>
      </c>
      <c r="U133" s="23" t="n">
        <v>328239523</v>
      </c>
      <c r="V133" s="33" t="n">
        <f aca="false">YEARFRAC(W133,X133,1)</f>
        <v>78.4804928131417</v>
      </c>
      <c r="W133" s="26" t="n">
        <f aca="false">DATE(M133,N133,O133)</f>
        <v>17377</v>
      </c>
      <c r="X133" s="26" t="n">
        <f aca="true">TODAY()</f>
        <v>46042</v>
      </c>
    </row>
    <row r="134" customFormat="false" ht="15" hidden="false" customHeight="false" outlineLevel="0" collapsed="false">
      <c r="A134" s="23" t="n">
        <v>140</v>
      </c>
      <c r="B134" s="23" t="s">
        <v>305</v>
      </c>
      <c r="C134" s="23" t="s">
        <v>622</v>
      </c>
      <c r="D134" s="23" t="s">
        <v>241</v>
      </c>
      <c r="E134" s="23" t="s">
        <v>242</v>
      </c>
      <c r="F134" s="23" t="s">
        <v>623</v>
      </c>
      <c r="G134" s="23" t="s">
        <v>305</v>
      </c>
      <c r="H134" s="32" t="s">
        <v>45</v>
      </c>
      <c r="I134" s="23" t="s">
        <v>37</v>
      </c>
      <c r="J134" s="23" t="s">
        <v>624</v>
      </c>
      <c r="K134" s="23" t="s">
        <v>625</v>
      </c>
      <c r="L134" s="23" t="n">
        <v>12600</v>
      </c>
      <c r="M134" s="23" t="n">
        <v>1964</v>
      </c>
      <c r="N134" s="23" t="n">
        <v>4</v>
      </c>
      <c r="O134" s="23" t="n">
        <v>21</v>
      </c>
      <c r="P134" s="23" t="n">
        <v>119.62</v>
      </c>
      <c r="Q134" s="24" t="n">
        <v>2827113184696</v>
      </c>
      <c r="R134" s="23" t="n">
        <v>81.3</v>
      </c>
      <c r="S134" s="23" t="n">
        <v>25.5</v>
      </c>
      <c r="T134" s="23" t="n">
        <v>30.6</v>
      </c>
      <c r="U134" s="23" t="n">
        <v>66834405</v>
      </c>
      <c r="V134" s="33" t="n">
        <f aca="false">YEARFRAC(W134,X134,1)</f>
        <v>61.7488157837556</v>
      </c>
      <c r="W134" s="26" t="n">
        <f aca="false">DATE(M134,N134,O134)</f>
        <v>23488</v>
      </c>
      <c r="X134" s="26" t="n">
        <f aca="true">TODAY()</f>
        <v>46042</v>
      </c>
    </row>
    <row r="135" customFormat="false" ht="15" hidden="false" customHeight="false" outlineLevel="0" collapsed="false">
      <c r="A135" s="23" t="n">
        <v>141</v>
      </c>
      <c r="B135" s="23" t="s">
        <v>305</v>
      </c>
      <c r="C135" s="23" t="s">
        <v>626</v>
      </c>
      <c r="D135" s="23" t="s">
        <v>539</v>
      </c>
      <c r="E135" s="23" t="s">
        <v>540</v>
      </c>
      <c r="F135" s="23" t="s">
        <v>305</v>
      </c>
      <c r="G135" s="23" t="s">
        <v>305</v>
      </c>
      <c r="H135" s="32" t="s">
        <v>45</v>
      </c>
      <c r="I135" s="23" t="s">
        <v>37</v>
      </c>
      <c r="J135" s="23" t="s">
        <v>627</v>
      </c>
      <c r="K135" s="23" t="s">
        <v>628</v>
      </c>
      <c r="L135" s="23" t="n">
        <v>12300</v>
      </c>
      <c r="M135" s="23" t="n">
        <v>1965</v>
      </c>
      <c r="N135" s="23" t="n">
        <v>7</v>
      </c>
      <c r="O135" s="23" t="n">
        <v>12</v>
      </c>
      <c r="P135" s="23" t="n">
        <v>113.27</v>
      </c>
      <c r="Q135" s="24" t="n">
        <v>543649976166</v>
      </c>
      <c r="R135" s="23" t="n">
        <v>76.9</v>
      </c>
      <c r="S135" s="23" t="n">
        <v>14.9</v>
      </c>
      <c r="T135" s="23" t="n">
        <v>29.5</v>
      </c>
      <c r="U135" s="23" t="n">
        <v>69625582</v>
      </c>
      <c r="V135" s="33" t="n">
        <f aca="false">YEARFRAC(W135,X135,1)</f>
        <v>60.527003753588</v>
      </c>
      <c r="W135" s="26" t="n">
        <f aca="false">DATE(M135,N135,O135)</f>
        <v>23935</v>
      </c>
      <c r="X135" s="26" t="n">
        <f aca="true">TODAY()</f>
        <v>46042</v>
      </c>
    </row>
    <row r="136" customFormat="false" ht="15" hidden="false" customHeight="false" outlineLevel="0" collapsed="false">
      <c r="A136" s="23" t="n">
        <v>142</v>
      </c>
      <c r="B136" s="23" t="s">
        <v>286</v>
      </c>
      <c r="C136" s="23" t="s">
        <v>629</v>
      </c>
      <c r="D136" s="23" t="s">
        <v>126</v>
      </c>
      <c r="E136" s="23" t="s">
        <v>630</v>
      </c>
      <c r="F136" s="23" t="s">
        <v>309</v>
      </c>
      <c r="G136" s="23" t="s">
        <v>286</v>
      </c>
      <c r="H136" s="32" t="s">
        <v>45</v>
      </c>
      <c r="I136" s="23" t="s">
        <v>37</v>
      </c>
      <c r="J136" s="23" t="s">
        <v>631</v>
      </c>
      <c r="K136" s="23" t="s">
        <v>632</v>
      </c>
      <c r="L136" s="23" t="n">
        <v>12200</v>
      </c>
      <c r="M136" s="23" t="n">
        <v>1973</v>
      </c>
      <c r="N136" s="23" t="n">
        <v>2</v>
      </c>
      <c r="O136" s="23" t="n">
        <v>1</v>
      </c>
      <c r="P136" s="23" t="n">
        <v>125.08</v>
      </c>
      <c r="Q136" s="24" t="n">
        <v>19910000000000</v>
      </c>
      <c r="R136" s="23" t="n">
        <v>77</v>
      </c>
      <c r="S136" s="23" t="n">
        <v>9.4</v>
      </c>
      <c r="T136" s="23" t="n">
        <v>59.2</v>
      </c>
      <c r="U136" s="23" t="n">
        <v>1397715000</v>
      </c>
      <c r="V136" s="33" t="n">
        <f aca="false">YEARFRAC(W136,X136,1)</f>
        <v>52.9678040865994</v>
      </c>
      <c r="W136" s="26" t="n">
        <f aca="false">DATE(M136,N136,O136)</f>
        <v>26696</v>
      </c>
      <c r="X136" s="26" t="n">
        <f aca="true">TODAY()</f>
        <v>46042</v>
      </c>
    </row>
    <row r="137" customFormat="false" ht="15" hidden="false" customHeight="false" outlineLevel="0" collapsed="false">
      <c r="A137" s="23" t="n">
        <v>142</v>
      </c>
      <c r="B137" s="23" t="s">
        <v>360</v>
      </c>
      <c r="C137" s="23" t="s">
        <v>633</v>
      </c>
      <c r="D137" s="23" t="s">
        <v>126</v>
      </c>
      <c r="E137" s="23" t="s">
        <v>634</v>
      </c>
      <c r="F137" s="23" t="s">
        <v>363</v>
      </c>
      <c r="G137" s="23" t="s">
        <v>360</v>
      </c>
      <c r="H137" s="32" t="s">
        <v>45</v>
      </c>
      <c r="I137" s="23" t="s">
        <v>37</v>
      </c>
      <c r="J137" s="23" t="s">
        <v>635</v>
      </c>
      <c r="K137" s="23" t="s">
        <v>636</v>
      </c>
      <c r="L137" s="23" t="n">
        <v>12200</v>
      </c>
      <c r="M137" s="23" t="n">
        <v>1953</v>
      </c>
      <c r="N137" s="23" t="n">
        <v>10</v>
      </c>
      <c r="O137" s="23" t="n">
        <v>8</v>
      </c>
      <c r="P137" s="23" t="n">
        <v>125.08</v>
      </c>
      <c r="Q137" s="24" t="n">
        <v>19910000000000</v>
      </c>
      <c r="R137" s="23" t="n">
        <v>77</v>
      </c>
      <c r="S137" s="23" t="n">
        <v>9.4</v>
      </c>
      <c r="T137" s="23" t="n">
        <v>59.2</v>
      </c>
      <c r="U137" s="23" t="n">
        <v>1397715000</v>
      </c>
      <c r="V137" s="33" t="n">
        <f aca="false">YEARFRAC(W137,X137,1)</f>
        <v>72.2860737013468</v>
      </c>
      <c r="W137" s="26" t="n">
        <f aca="false">DATE(M137,N137,O137)</f>
        <v>19640</v>
      </c>
      <c r="X137" s="26" t="n">
        <f aca="true">TODAY()</f>
        <v>46042</v>
      </c>
    </row>
    <row r="138" customFormat="false" ht="15" hidden="false" customHeight="false" outlineLevel="0" collapsed="false">
      <c r="A138" s="23" t="n">
        <v>144</v>
      </c>
      <c r="B138" s="23" t="s">
        <v>40</v>
      </c>
      <c r="C138" s="23" t="s">
        <v>637</v>
      </c>
      <c r="D138" s="23" t="s">
        <v>42</v>
      </c>
      <c r="E138" s="23" t="s">
        <v>638</v>
      </c>
      <c r="F138" s="23" t="s">
        <v>639</v>
      </c>
      <c r="G138" s="23" t="s">
        <v>40</v>
      </c>
      <c r="H138" s="32" t="s">
        <v>45</v>
      </c>
      <c r="I138" s="23" t="s">
        <v>37</v>
      </c>
      <c r="J138" s="23" t="s">
        <v>640</v>
      </c>
      <c r="K138" s="23" t="s">
        <v>641</v>
      </c>
      <c r="L138" s="23" t="n">
        <v>12100</v>
      </c>
      <c r="M138" s="23" t="n">
        <v>1950</v>
      </c>
      <c r="N138" s="23" t="n">
        <v>7</v>
      </c>
      <c r="O138" s="23" t="n">
        <v>18</v>
      </c>
      <c r="P138" s="23" t="n">
        <v>117.24</v>
      </c>
      <c r="Q138" s="24" t="n">
        <v>21427700000000</v>
      </c>
      <c r="R138" s="23" t="n">
        <v>78.5</v>
      </c>
      <c r="S138" s="23" t="n">
        <v>9.6</v>
      </c>
      <c r="T138" s="23" t="n">
        <v>36.6</v>
      </c>
      <c r="U138" s="23" t="n">
        <v>328239523</v>
      </c>
      <c r="V138" s="33" t="n">
        <f aca="false">YEARFRAC(W138,X138,1)</f>
        <v>75.5105959322998</v>
      </c>
      <c r="W138" s="26" t="n">
        <f aca="false">DATE(M138,N138,O138)</f>
        <v>18462</v>
      </c>
      <c r="X138" s="26" t="n">
        <f aca="true">TODAY()</f>
        <v>46042</v>
      </c>
    </row>
    <row r="139" customFormat="false" ht="15" hidden="false" customHeight="false" outlineLevel="0" collapsed="false">
      <c r="A139" s="23" t="n">
        <v>145</v>
      </c>
      <c r="B139" s="23" t="s">
        <v>49</v>
      </c>
      <c r="C139" s="23" t="s">
        <v>642</v>
      </c>
      <c r="D139" s="23" t="s">
        <v>42</v>
      </c>
      <c r="E139" s="23" t="s">
        <v>108</v>
      </c>
      <c r="F139" s="23" t="s">
        <v>643</v>
      </c>
      <c r="G139" s="23" t="s">
        <v>49</v>
      </c>
      <c r="H139" s="32" t="s">
        <v>36</v>
      </c>
      <c r="I139" s="23" t="s">
        <v>103</v>
      </c>
      <c r="J139" s="23" t="s">
        <v>644</v>
      </c>
      <c r="K139" s="23" t="s">
        <v>645</v>
      </c>
      <c r="L139" s="23" t="n">
        <v>12000</v>
      </c>
      <c r="M139" s="23" t="n">
        <v>1963</v>
      </c>
      <c r="N139" s="23" t="n">
        <v>11</v>
      </c>
      <c r="O139" s="23" t="n">
        <v>6</v>
      </c>
      <c r="P139" s="23" t="n">
        <v>117.24</v>
      </c>
      <c r="Q139" s="24" t="n">
        <v>21427700000000</v>
      </c>
      <c r="R139" s="23" t="n">
        <v>78.5</v>
      </c>
      <c r="S139" s="23" t="n">
        <v>9.6</v>
      </c>
      <c r="T139" s="23" t="n">
        <v>36.6</v>
      </c>
      <c r="U139" s="23" t="n">
        <v>328239523</v>
      </c>
      <c r="V139" s="33" t="n">
        <f aca="false">YEARFRAC(W139,X139,1)</f>
        <v>62.2067077344285</v>
      </c>
      <c r="W139" s="26" t="n">
        <f aca="false">DATE(M139,N139,O139)</f>
        <v>23321</v>
      </c>
      <c r="X139" s="26" t="n">
        <f aca="true">TODAY()</f>
        <v>46042</v>
      </c>
    </row>
    <row r="140" customFormat="false" ht="15" hidden="false" customHeight="false" outlineLevel="0" collapsed="false">
      <c r="A140" s="23" t="n">
        <v>147</v>
      </c>
      <c r="B140" s="23" t="s">
        <v>471</v>
      </c>
      <c r="C140" s="23" t="s">
        <v>646</v>
      </c>
      <c r="D140" s="23" t="s">
        <v>42</v>
      </c>
      <c r="E140" s="23" t="s">
        <v>77</v>
      </c>
      <c r="F140" s="23" t="s">
        <v>474</v>
      </c>
      <c r="G140" s="23" t="s">
        <v>471</v>
      </c>
      <c r="H140" s="32" t="s">
        <v>45</v>
      </c>
      <c r="I140" s="23" t="s">
        <v>37</v>
      </c>
      <c r="J140" s="23" t="s">
        <v>647</v>
      </c>
      <c r="K140" s="23" t="s">
        <v>280</v>
      </c>
      <c r="L140" s="23" t="n">
        <v>11600</v>
      </c>
      <c r="M140" s="23" t="n">
        <v>1940</v>
      </c>
      <c r="N140" s="23" t="n">
        <v>5</v>
      </c>
      <c r="O140" s="23" t="n">
        <v>10</v>
      </c>
      <c r="P140" s="23" t="n">
        <v>117.24</v>
      </c>
      <c r="Q140" s="24" t="n">
        <v>21427700000000</v>
      </c>
      <c r="R140" s="23" t="n">
        <v>78.5</v>
      </c>
      <c r="S140" s="23" t="n">
        <v>9.6</v>
      </c>
      <c r="T140" s="23" t="n">
        <v>36.6</v>
      </c>
      <c r="U140" s="23" t="n">
        <v>328239523</v>
      </c>
      <c r="V140" s="33" t="n">
        <f aca="false">YEARFRAC(W140,X140,1)</f>
        <v>85.6967932781572</v>
      </c>
      <c r="W140" s="26" t="n">
        <f aca="false">DATE(M140,N140,O140)</f>
        <v>14741</v>
      </c>
      <c r="X140" s="26" t="n">
        <f aca="true">TODAY()</f>
        <v>46042</v>
      </c>
    </row>
    <row r="141" customFormat="false" ht="15" hidden="false" customHeight="false" outlineLevel="0" collapsed="false">
      <c r="A141" s="23" t="n">
        <v>148</v>
      </c>
      <c r="B141" s="23" t="s">
        <v>49</v>
      </c>
      <c r="C141" s="23" t="s">
        <v>648</v>
      </c>
      <c r="D141" s="23" t="s">
        <v>318</v>
      </c>
      <c r="E141" s="23" t="s">
        <v>649</v>
      </c>
      <c r="F141" s="23" t="s">
        <v>650</v>
      </c>
      <c r="G141" s="23" t="s">
        <v>49</v>
      </c>
      <c r="H141" s="32" t="s">
        <v>45</v>
      </c>
      <c r="I141" s="23" t="s">
        <v>37</v>
      </c>
      <c r="J141" s="23" t="s">
        <v>651</v>
      </c>
      <c r="K141" s="23" t="s">
        <v>652</v>
      </c>
      <c r="L141" s="23" t="n">
        <v>11500</v>
      </c>
      <c r="M141" s="23" t="n">
        <v>1984</v>
      </c>
      <c r="N141" s="23" t="n">
        <v>10</v>
      </c>
      <c r="O141" s="23" t="n">
        <v>10</v>
      </c>
      <c r="P141" s="23" t="n">
        <v>114.52</v>
      </c>
      <c r="Q141" s="24" t="n">
        <v>421142267938</v>
      </c>
      <c r="R141" s="23" t="n">
        <v>77.8</v>
      </c>
      <c r="S141" s="23" t="n">
        <v>0.1</v>
      </c>
      <c r="T141" s="23" t="n">
        <v>15.9</v>
      </c>
      <c r="U141" s="23" t="n">
        <v>9770529</v>
      </c>
      <c r="V141" s="33" t="n">
        <f aca="false">YEARFRAC(W141,X141,1)</f>
        <v>41.2779192665223</v>
      </c>
      <c r="W141" s="26" t="n">
        <f aca="false">DATE(M141,N141,O141)</f>
        <v>30965</v>
      </c>
      <c r="X141" s="26" t="n">
        <f aca="true">TODAY()</f>
        <v>46042</v>
      </c>
    </row>
    <row r="142" customFormat="false" ht="15" hidden="false" customHeight="false" outlineLevel="0" collapsed="false">
      <c r="A142" s="23" t="n">
        <v>148</v>
      </c>
      <c r="B142" s="23" t="s">
        <v>360</v>
      </c>
      <c r="C142" s="23" t="s">
        <v>653</v>
      </c>
      <c r="D142" s="23" t="s">
        <v>178</v>
      </c>
      <c r="E142" s="23" t="s">
        <v>654</v>
      </c>
      <c r="F142" s="23" t="s">
        <v>524</v>
      </c>
      <c r="G142" s="23" t="s">
        <v>360</v>
      </c>
      <c r="H142" s="32" t="s">
        <v>45</v>
      </c>
      <c r="I142" s="23" t="s">
        <v>37</v>
      </c>
      <c r="J142" s="23" t="s">
        <v>655</v>
      </c>
      <c r="K142" s="23" t="s">
        <v>656</v>
      </c>
      <c r="L142" s="23" t="n">
        <v>11500</v>
      </c>
      <c r="M142" s="23" t="n">
        <v>1950</v>
      </c>
      <c r="N142" s="23" t="n">
        <v>2</v>
      </c>
      <c r="O142" s="23" t="n">
        <v>16</v>
      </c>
      <c r="P142" s="23" t="n">
        <v>112.85</v>
      </c>
      <c r="Q142" s="24" t="n">
        <v>3845630030824</v>
      </c>
      <c r="R142" s="23" t="n">
        <v>80.9</v>
      </c>
      <c r="S142" s="23" t="n">
        <v>11.5</v>
      </c>
      <c r="T142" s="23" t="n">
        <v>48.8</v>
      </c>
      <c r="U142" s="23" t="n">
        <v>83132799</v>
      </c>
      <c r="V142" s="33" t="n">
        <f aca="false">YEARFRAC(W142,X142,1)</f>
        <v>75.9267529512161</v>
      </c>
      <c r="W142" s="26" t="n">
        <f aca="false">DATE(M142,N142,O142)</f>
        <v>18310</v>
      </c>
      <c r="X142" s="26" t="n">
        <f aca="true">TODAY()</f>
        <v>46042</v>
      </c>
    </row>
    <row r="143" customFormat="false" ht="15" hidden="false" customHeight="false" outlineLevel="0" collapsed="false">
      <c r="A143" s="23" t="n">
        <v>148</v>
      </c>
      <c r="B143" s="23" t="s">
        <v>360</v>
      </c>
      <c r="C143" s="23" t="s">
        <v>657</v>
      </c>
      <c r="D143" s="23" t="s">
        <v>178</v>
      </c>
      <c r="E143" s="23" t="s">
        <v>654</v>
      </c>
      <c r="F143" s="23" t="s">
        <v>524</v>
      </c>
      <c r="G143" s="23" t="s">
        <v>360</v>
      </c>
      <c r="H143" s="32" t="s">
        <v>45</v>
      </c>
      <c r="I143" s="23" t="s">
        <v>37</v>
      </c>
      <c r="J143" s="23" t="s">
        <v>655</v>
      </c>
      <c r="K143" s="23" t="s">
        <v>316</v>
      </c>
      <c r="L143" s="23" t="n">
        <v>11500</v>
      </c>
      <c r="M143" s="23" t="n">
        <v>1950</v>
      </c>
      <c r="N143" s="23" t="n">
        <v>2</v>
      </c>
      <c r="O143" s="23" t="n">
        <v>16</v>
      </c>
      <c r="P143" s="23" t="n">
        <v>112.85</v>
      </c>
      <c r="Q143" s="24" t="n">
        <v>3845630030824</v>
      </c>
      <c r="R143" s="23" t="n">
        <v>80.9</v>
      </c>
      <c r="S143" s="23" t="n">
        <v>11.5</v>
      </c>
      <c r="T143" s="23" t="n">
        <v>48.8</v>
      </c>
      <c r="U143" s="23" t="n">
        <v>83132799</v>
      </c>
      <c r="V143" s="33" t="n">
        <f aca="false">YEARFRAC(W143,X143,1)</f>
        <v>75.9267529512161</v>
      </c>
      <c r="W143" s="26" t="n">
        <f aca="false">DATE(M143,N143,O143)</f>
        <v>18310</v>
      </c>
      <c r="X143" s="26" t="n">
        <f aca="true">TODAY()</f>
        <v>46042</v>
      </c>
    </row>
    <row r="144" customFormat="false" ht="15" hidden="false" customHeight="false" outlineLevel="0" collapsed="false">
      <c r="A144" s="23" t="n">
        <v>151</v>
      </c>
      <c r="B144" s="23" t="s">
        <v>124</v>
      </c>
      <c r="C144" s="23" t="s">
        <v>658</v>
      </c>
      <c r="D144" s="23" t="s">
        <v>126</v>
      </c>
      <c r="E144" s="23" t="s">
        <v>659</v>
      </c>
      <c r="F144" s="23" t="s">
        <v>660</v>
      </c>
      <c r="G144" s="23" t="s">
        <v>124</v>
      </c>
      <c r="H144" s="32" t="s">
        <v>45</v>
      </c>
      <c r="I144" s="23" t="s">
        <v>37</v>
      </c>
      <c r="J144" s="23" t="s">
        <v>661</v>
      </c>
      <c r="K144" s="23" t="s">
        <v>662</v>
      </c>
      <c r="L144" s="23" t="n">
        <v>11400</v>
      </c>
      <c r="M144" s="23" t="n">
        <v>1964</v>
      </c>
      <c r="N144" s="23" t="n">
        <v>1</v>
      </c>
      <c r="O144" s="23" t="n">
        <v>1</v>
      </c>
      <c r="P144" s="23" t="n">
        <v>125.08</v>
      </c>
      <c r="Q144" s="24" t="n">
        <v>19910000000000</v>
      </c>
      <c r="R144" s="23" t="n">
        <v>77</v>
      </c>
      <c r="S144" s="23" t="n">
        <v>9.4</v>
      </c>
      <c r="T144" s="23" t="n">
        <v>59.2</v>
      </c>
      <c r="U144" s="23" t="n">
        <v>1397715000</v>
      </c>
      <c r="V144" s="33" t="n">
        <f aca="false">YEARFRAC(W144,X144,1)</f>
        <v>62.0527139194298</v>
      </c>
      <c r="W144" s="26" t="n">
        <f aca="false">DATE(M144,N144,O144)</f>
        <v>23377</v>
      </c>
      <c r="X144" s="26" t="n">
        <f aca="true">TODAY()</f>
        <v>46042</v>
      </c>
    </row>
    <row r="145" customFormat="false" ht="15" hidden="false" customHeight="false" outlineLevel="0" collapsed="false">
      <c r="A145" s="23" t="n">
        <v>151</v>
      </c>
      <c r="B145" s="23" t="s">
        <v>31</v>
      </c>
      <c r="C145" s="23" t="s">
        <v>663</v>
      </c>
      <c r="D145" s="23" t="s">
        <v>42</v>
      </c>
      <c r="E145" s="23" t="s">
        <v>664</v>
      </c>
      <c r="F145" s="23" t="s">
        <v>665</v>
      </c>
      <c r="G145" s="23" t="s">
        <v>31</v>
      </c>
      <c r="H145" s="32" t="s">
        <v>45</v>
      </c>
      <c r="I145" s="23" t="s">
        <v>37</v>
      </c>
      <c r="J145" s="23" t="s">
        <v>666</v>
      </c>
      <c r="K145" s="23" t="s">
        <v>80</v>
      </c>
      <c r="L145" s="23" t="n">
        <v>11400</v>
      </c>
      <c r="M145" s="23" t="n">
        <v>1972</v>
      </c>
      <c r="N145" s="23" t="n">
        <v>7</v>
      </c>
      <c r="O145" s="23" t="n">
        <v>21</v>
      </c>
      <c r="P145" s="23" t="n">
        <v>117.24</v>
      </c>
      <c r="Q145" s="24" t="n">
        <v>21427700000000</v>
      </c>
      <c r="R145" s="23" t="n">
        <v>78.5</v>
      </c>
      <c r="S145" s="23" t="n">
        <v>9.6</v>
      </c>
      <c r="T145" s="23" t="n">
        <v>36.6</v>
      </c>
      <c r="U145" s="23" t="n">
        <v>328239523</v>
      </c>
      <c r="V145" s="33" t="n">
        <f aca="false">YEARFRAC(W145,X145,1)</f>
        <v>53.4996764398427</v>
      </c>
      <c r="W145" s="26" t="n">
        <f aca="false">DATE(M145,N145,O145)</f>
        <v>26501</v>
      </c>
      <c r="X145" s="26" t="n">
        <f aca="true">TODAY()</f>
        <v>46042</v>
      </c>
    </row>
    <row r="146" customFormat="false" ht="15" hidden="false" customHeight="false" outlineLevel="0" collapsed="false">
      <c r="A146" s="23" t="n">
        <v>153</v>
      </c>
      <c r="B146" s="23" t="s">
        <v>62</v>
      </c>
      <c r="C146" s="23" t="s">
        <v>667</v>
      </c>
      <c r="D146" s="23" t="s">
        <v>42</v>
      </c>
      <c r="E146" s="23" t="s">
        <v>77</v>
      </c>
      <c r="F146" s="23" t="s">
        <v>221</v>
      </c>
      <c r="G146" s="23" t="s">
        <v>62</v>
      </c>
      <c r="H146" s="32" t="s">
        <v>45</v>
      </c>
      <c r="I146" s="23" t="s">
        <v>37</v>
      </c>
      <c r="J146" s="23" t="s">
        <v>668</v>
      </c>
      <c r="K146" s="23" t="s">
        <v>669</v>
      </c>
      <c r="L146" s="23" t="n">
        <v>11300</v>
      </c>
      <c r="M146" s="23" t="n">
        <v>1948</v>
      </c>
      <c r="N146" s="23" t="n">
        <v>9</v>
      </c>
      <c r="O146" s="23" t="n">
        <v>30</v>
      </c>
      <c r="P146" s="23" t="n">
        <v>117.24</v>
      </c>
      <c r="Q146" s="24" t="n">
        <v>21427700000000</v>
      </c>
      <c r="R146" s="23" t="n">
        <v>78.5</v>
      </c>
      <c r="S146" s="23" t="n">
        <v>9.6</v>
      </c>
      <c r="T146" s="23" t="n">
        <v>36.6</v>
      </c>
      <c r="U146" s="23" t="n">
        <v>328239523</v>
      </c>
      <c r="V146" s="33" t="n">
        <f aca="false">YEARFRAC(W146,X146,1)</f>
        <v>77.3052850459193</v>
      </c>
      <c r="W146" s="26" t="n">
        <f aca="false">DATE(M146,N146,O146)</f>
        <v>17806</v>
      </c>
      <c r="X146" s="26" t="n">
        <f aca="true">TODAY()</f>
        <v>46042</v>
      </c>
    </row>
    <row r="147" customFormat="false" ht="15" hidden="false" customHeight="false" outlineLevel="0" collapsed="false">
      <c r="A147" s="23" t="n">
        <v>153</v>
      </c>
      <c r="B147" s="23" t="s">
        <v>264</v>
      </c>
      <c r="C147" s="23" t="s">
        <v>670</v>
      </c>
      <c r="D147" s="23" t="s">
        <v>669</v>
      </c>
      <c r="E147" s="23" t="s">
        <v>671</v>
      </c>
      <c r="F147" s="23" t="s">
        <v>672</v>
      </c>
      <c r="G147" s="23" t="s">
        <v>264</v>
      </c>
      <c r="H147" s="32" t="s">
        <v>45</v>
      </c>
      <c r="I147" s="23" t="s">
        <v>37</v>
      </c>
      <c r="J147" s="23" t="s">
        <v>673</v>
      </c>
      <c r="K147" s="23" t="s">
        <v>674</v>
      </c>
      <c r="L147" s="23" t="n">
        <v>11300</v>
      </c>
      <c r="M147" s="23" t="n">
        <v>1953</v>
      </c>
      <c r="N147" s="23" t="n">
        <v>9</v>
      </c>
      <c r="O147" s="23" t="n">
        <v>8</v>
      </c>
      <c r="P147" s="23" t="n">
        <v>108.15</v>
      </c>
      <c r="Q147" s="24" t="n">
        <v>395098666122</v>
      </c>
      <c r="R147" s="23" t="n">
        <v>82.8</v>
      </c>
      <c r="S147" s="23" t="n">
        <v>23.1</v>
      </c>
      <c r="T147" s="23" t="n">
        <v>25.3</v>
      </c>
      <c r="U147" s="23" t="n">
        <v>9053300</v>
      </c>
      <c r="V147" s="33" t="n">
        <f aca="false">YEARFRAC(W147,X147,1)</f>
        <v>72.3682107444132</v>
      </c>
      <c r="W147" s="26" t="n">
        <f aca="false">DATE(M147,N147,O147)</f>
        <v>19610</v>
      </c>
      <c r="X147" s="26" t="n">
        <f aca="true">TODAY()</f>
        <v>46042</v>
      </c>
    </row>
    <row r="148" customFormat="false" ht="15" hidden="false" customHeight="false" outlineLevel="0" collapsed="false">
      <c r="A148" s="23" t="n">
        <v>153</v>
      </c>
      <c r="B148" s="23" t="s">
        <v>264</v>
      </c>
      <c r="C148" s="23" t="s">
        <v>675</v>
      </c>
      <c r="D148" s="23" t="s">
        <v>288</v>
      </c>
      <c r="E148" s="23" t="s">
        <v>676</v>
      </c>
      <c r="F148" s="23" t="s">
        <v>264</v>
      </c>
      <c r="G148" s="23" t="s">
        <v>264</v>
      </c>
      <c r="H148" s="32" t="s">
        <v>36</v>
      </c>
      <c r="I148" s="23" t="s">
        <v>37</v>
      </c>
      <c r="J148" s="23" t="s">
        <v>677</v>
      </c>
      <c r="K148" s="23" t="s">
        <v>678</v>
      </c>
      <c r="L148" s="23" t="n">
        <v>11300</v>
      </c>
      <c r="M148" s="23" t="n">
        <v>1960</v>
      </c>
      <c r="N148" s="23" t="n">
        <v>4</v>
      </c>
      <c r="O148" s="23" t="n">
        <v>11</v>
      </c>
      <c r="P148" s="23" t="n">
        <v>119.8</v>
      </c>
      <c r="Q148" s="24" t="n">
        <v>1392680589329</v>
      </c>
      <c r="R148" s="23" t="n">
        <v>82.7</v>
      </c>
      <c r="S148" s="23" t="n">
        <v>23</v>
      </c>
      <c r="T148" s="23" t="n">
        <v>47.4</v>
      </c>
      <c r="U148" s="23" t="n">
        <v>25766605</v>
      </c>
      <c r="V148" s="33" t="n">
        <f aca="false">YEARFRAC(W148,X148,1)</f>
        <v>65.7761932003923</v>
      </c>
      <c r="W148" s="34" t="n">
        <f aca="false">DATE(M148,N148,O148)</f>
        <v>22017</v>
      </c>
      <c r="X148" s="34" t="n">
        <f aca="true">TODAY()</f>
        <v>46042</v>
      </c>
    </row>
    <row r="149" customFormat="false" ht="15" hidden="false" customHeight="false" outlineLevel="0" collapsed="false">
      <c r="A149" s="23" t="n">
        <v>153</v>
      </c>
      <c r="B149" s="23" t="s">
        <v>62</v>
      </c>
      <c r="C149" s="23" t="s">
        <v>679</v>
      </c>
      <c r="D149" s="23" t="s">
        <v>189</v>
      </c>
      <c r="E149" s="23" t="s">
        <v>680</v>
      </c>
      <c r="F149" s="23" t="s">
        <v>278</v>
      </c>
      <c r="G149" s="23" t="s">
        <v>62</v>
      </c>
      <c r="H149" s="32" t="s">
        <v>45</v>
      </c>
      <c r="I149" s="23" t="s">
        <v>37</v>
      </c>
      <c r="J149" s="23" t="s">
        <v>681</v>
      </c>
      <c r="K149" s="23" t="s">
        <v>625</v>
      </c>
      <c r="L149" s="23" t="n">
        <v>11300</v>
      </c>
      <c r="M149" s="23" t="n">
        <v>1965</v>
      </c>
      <c r="N149" s="23" t="n">
        <v>5</v>
      </c>
      <c r="O149" s="23" t="n">
        <v>3</v>
      </c>
      <c r="P149" s="23" t="n">
        <v>99.55</v>
      </c>
      <c r="Q149" s="24" t="n">
        <v>703082435360</v>
      </c>
      <c r="R149" s="23" t="n">
        <v>83.6</v>
      </c>
      <c r="S149" s="23" t="n">
        <v>10.1</v>
      </c>
      <c r="T149" s="23" t="n">
        <v>28.8</v>
      </c>
      <c r="U149" s="23" t="n">
        <v>8574832</v>
      </c>
      <c r="V149" s="33" t="n">
        <f aca="false">YEARFRAC(W149,X149,1)</f>
        <v>60.7186575402959</v>
      </c>
      <c r="W149" s="34" t="n">
        <f aca="false">DATE(M149,N149,O149)</f>
        <v>23865</v>
      </c>
      <c r="X149" s="34" t="n">
        <f aca="true">TODAY()</f>
        <v>46042</v>
      </c>
    </row>
    <row r="150" customFormat="false" ht="15" hidden="false" customHeight="false" outlineLevel="0" collapsed="false">
      <c r="A150" s="23" t="n">
        <v>157</v>
      </c>
      <c r="B150" s="23" t="s">
        <v>31</v>
      </c>
      <c r="C150" s="23" t="s">
        <v>682</v>
      </c>
      <c r="D150" s="23" t="s">
        <v>683</v>
      </c>
      <c r="E150" s="23" t="s">
        <v>684</v>
      </c>
      <c r="F150" s="23" t="s">
        <v>184</v>
      </c>
      <c r="G150" s="23" t="s">
        <v>31</v>
      </c>
      <c r="H150" s="32" t="s">
        <v>45</v>
      </c>
      <c r="I150" s="23" t="s">
        <v>37</v>
      </c>
      <c r="J150" s="23" t="s">
        <v>685</v>
      </c>
      <c r="K150" s="23" t="s">
        <v>686</v>
      </c>
      <c r="L150" s="23" t="n">
        <v>11100</v>
      </c>
      <c r="M150" s="23" t="n">
        <v>1934</v>
      </c>
      <c r="N150" s="23" t="n">
        <v>7</v>
      </c>
      <c r="O150" s="23" t="n">
        <v>11</v>
      </c>
      <c r="P150" s="23" t="n">
        <v>110.62</v>
      </c>
      <c r="Q150" s="24" t="n">
        <v>2001244392042</v>
      </c>
      <c r="R150" s="23" t="n">
        <v>82.9</v>
      </c>
      <c r="S150" s="23" t="n">
        <v>24.3</v>
      </c>
      <c r="T150" s="23" t="n">
        <v>59.1</v>
      </c>
      <c r="U150" s="23" t="n">
        <v>60297396</v>
      </c>
      <c r="V150" s="33" t="n">
        <f aca="false">YEARFRAC(W150,X150,1)</f>
        <v>91.5297633066415</v>
      </c>
      <c r="W150" s="34" t="n">
        <f aca="false">DATE(M150,N150,O150)</f>
        <v>12611</v>
      </c>
      <c r="X150" s="34" t="n">
        <f aca="true">TODAY()</f>
        <v>46042</v>
      </c>
    </row>
    <row r="151" customFormat="false" ht="15" hidden="false" customHeight="false" outlineLevel="0" collapsed="false">
      <c r="A151" s="23" t="n">
        <v>157</v>
      </c>
      <c r="B151" s="23" t="s">
        <v>31</v>
      </c>
      <c r="C151" s="23" t="s">
        <v>687</v>
      </c>
      <c r="D151" s="23" t="s">
        <v>688</v>
      </c>
      <c r="E151" s="23" t="s">
        <v>689</v>
      </c>
      <c r="F151" s="23" t="s">
        <v>184</v>
      </c>
      <c r="G151" s="23" t="s">
        <v>31</v>
      </c>
      <c r="H151" s="32" t="s">
        <v>36</v>
      </c>
      <c r="I151" s="23" t="s">
        <v>37</v>
      </c>
      <c r="J151" s="23" t="s">
        <v>484</v>
      </c>
      <c r="K151" s="23" t="s">
        <v>690</v>
      </c>
      <c r="L151" s="23" t="n">
        <v>11100</v>
      </c>
      <c r="M151" s="23" t="n">
        <v>1950</v>
      </c>
      <c r="N151" s="23" t="n">
        <v>6</v>
      </c>
      <c r="O151" s="23" t="n">
        <v>1</v>
      </c>
      <c r="P151" s="23" t="n">
        <v>158.93</v>
      </c>
      <c r="Q151" s="24" t="n">
        <v>351431649241</v>
      </c>
      <c r="R151" s="23" t="n">
        <v>63.9</v>
      </c>
      <c r="S151" s="23" t="n">
        <v>27.5</v>
      </c>
      <c r="T151" s="23" t="n">
        <v>29.2</v>
      </c>
      <c r="U151" s="23" t="n">
        <v>58558270</v>
      </c>
      <c r="V151" s="33" t="n">
        <f aca="false">YEARFRAC(W151,X151,1)</f>
        <v>75.6392760631489</v>
      </c>
      <c r="W151" s="34" t="n">
        <f aca="false">DATE(M151,N151,O151)</f>
        <v>18415</v>
      </c>
      <c r="X151" s="34" t="n">
        <f aca="true">TODAY()</f>
        <v>46042</v>
      </c>
    </row>
    <row r="152" customFormat="false" ht="15" hidden="false" customHeight="false" outlineLevel="0" collapsed="false">
      <c r="A152" s="23" t="n">
        <v>159</v>
      </c>
      <c r="B152" s="23" t="s">
        <v>49</v>
      </c>
      <c r="C152" s="23" t="s">
        <v>691</v>
      </c>
      <c r="D152" s="23" t="s">
        <v>126</v>
      </c>
      <c r="E152" s="23" t="s">
        <v>209</v>
      </c>
      <c r="F152" s="23" t="s">
        <v>210</v>
      </c>
      <c r="G152" s="23" t="s">
        <v>49</v>
      </c>
      <c r="H152" s="32" t="s">
        <v>45</v>
      </c>
      <c r="I152" s="23" t="s">
        <v>37</v>
      </c>
      <c r="J152" s="23" t="s">
        <v>175</v>
      </c>
      <c r="K152" s="23" t="s">
        <v>692</v>
      </c>
      <c r="L152" s="23" t="n">
        <v>11000</v>
      </c>
      <c r="M152" s="23" t="n">
        <v>1972</v>
      </c>
      <c r="N152" s="23" t="n">
        <v>1</v>
      </c>
      <c r="O152" s="23" t="n">
        <v>1</v>
      </c>
      <c r="P152" s="23" t="n">
        <v>125.08</v>
      </c>
      <c r="Q152" s="24" t="n">
        <v>19910000000000</v>
      </c>
      <c r="R152" s="23" t="n">
        <v>77</v>
      </c>
      <c r="S152" s="23" t="n">
        <v>9.4</v>
      </c>
      <c r="T152" s="23" t="n">
        <v>59.2</v>
      </c>
      <c r="U152" s="23" t="n">
        <v>1397715000</v>
      </c>
      <c r="V152" s="33" t="n">
        <f aca="false">YEARFRAC(W152,X152,1)</f>
        <v>54.052715416397</v>
      </c>
      <c r="W152" s="34" t="n">
        <f aca="false">DATE(M152,N152,O152)</f>
        <v>26299</v>
      </c>
      <c r="X152" s="34" t="n">
        <f aca="true">TODAY()</f>
        <v>46042</v>
      </c>
    </row>
    <row r="153" customFormat="false" ht="15" hidden="false" customHeight="false" outlineLevel="0" collapsed="false">
      <c r="A153" s="23" t="n">
        <v>161</v>
      </c>
      <c r="B153" s="23" t="s">
        <v>62</v>
      </c>
      <c r="C153" s="23" t="s">
        <v>693</v>
      </c>
      <c r="D153" s="23" t="s">
        <v>42</v>
      </c>
      <c r="E153" s="23" t="s">
        <v>694</v>
      </c>
      <c r="F153" s="23" t="s">
        <v>695</v>
      </c>
      <c r="G153" s="23" t="s">
        <v>62</v>
      </c>
      <c r="H153" s="32" t="s">
        <v>36</v>
      </c>
      <c r="I153" s="23" t="s">
        <v>37</v>
      </c>
      <c r="J153" s="23" t="s">
        <v>696</v>
      </c>
      <c r="K153" s="23" t="s">
        <v>697</v>
      </c>
      <c r="L153" s="23" t="n">
        <v>10900</v>
      </c>
      <c r="M153" s="23" t="n">
        <v>1939</v>
      </c>
      <c r="N153" s="23" t="n">
        <v>12</v>
      </c>
      <c r="O153" s="23" t="n">
        <v>28</v>
      </c>
      <c r="P153" s="23" t="n">
        <v>117.24</v>
      </c>
      <c r="Q153" s="24" t="n">
        <v>21427700000000</v>
      </c>
      <c r="R153" s="23" t="n">
        <v>78.5</v>
      </c>
      <c r="S153" s="23" t="n">
        <v>9.6</v>
      </c>
      <c r="T153" s="23" t="n">
        <v>36.6</v>
      </c>
      <c r="U153" s="23" t="n">
        <v>328239523</v>
      </c>
      <c r="V153" s="33" t="n">
        <f aca="false">YEARFRAC(W153,X153,1)</f>
        <v>86.0643394934976</v>
      </c>
      <c r="W153" s="34" t="n">
        <f aca="false">DATE(M153,N153,O153)</f>
        <v>14607</v>
      </c>
      <c r="X153" s="34" t="n">
        <f aca="true">TODAY()</f>
        <v>46042</v>
      </c>
    </row>
    <row r="154" customFormat="false" ht="15" hidden="false" customHeight="false" outlineLevel="0" collapsed="false">
      <c r="A154" s="23" t="n">
        <v>161</v>
      </c>
      <c r="B154" s="23" t="s">
        <v>31</v>
      </c>
      <c r="C154" s="23" t="s">
        <v>698</v>
      </c>
      <c r="D154" s="23" t="s">
        <v>42</v>
      </c>
      <c r="E154" s="23" t="s">
        <v>442</v>
      </c>
      <c r="F154" s="23" t="s">
        <v>699</v>
      </c>
      <c r="G154" s="23" t="s">
        <v>31</v>
      </c>
      <c r="H154" s="32" t="s">
        <v>45</v>
      </c>
      <c r="I154" s="23" t="s">
        <v>103</v>
      </c>
      <c r="J154" s="23" t="s">
        <v>700</v>
      </c>
      <c r="K154" s="23" t="s">
        <v>701</v>
      </c>
      <c r="L154" s="23" t="n">
        <v>10900</v>
      </c>
      <c r="M154" s="23" t="n">
        <v>1937</v>
      </c>
      <c r="N154" s="23" t="n">
        <v>6</v>
      </c>
      <c r="O154" s="23" t="n">
        <v>17</v>
      </c>
      <c r="P154" s="23" t="n">
        <v>117.24</v>
      </c>
      <c r="Q154" s="24" t="n">
        <v>21427700000000</v>
      </c>
      <c r="R154" s="23" t="n">
        <v>78.5</v>
      </c>
      <c r="S154" s="23" t="n">
        <v>9.6</v>
      </c>
      <c r="T154" s="23" t="n">
        <v>36.6</v>
      </c>
      <c r="U154" s="23" t="n">
        <v>328239523</v>
      </c>
      <c r="V154" s="33" t="n">
        <f aca="false">YEARFRAC(W154,X154,1)</f>
        <v>88.5954611827695</v>
      </c>
      <c r="W154" s="34" t="n">
        <f aca="false">DATE(M154,N154,O154)</f>
        <v>13683</v>
      </c>
      <c r="X154" s="34" t="n">
        <f aca="true">TODAY()</f>
        <v>46042</v>
      </c>
    </row>
    <row r="155" customFormat="false" ht="15" hidden="false" customHeight="false" outlineLevel="0" collapsed="false">
      <c r="A155" s="23" t="n">
        <v>161</v>
      </c>
      <c r="B155" s="23" t="s">
        <v>31</v>
      </c>
      <c r="C155" s="23" t="s">
        <v>702</v>
      </c>
      <c r="D155" s="23" t="s">
        <v>84</v>
      </c>
      <c r="E155" s="23" t="s">
        <v>85</v>
      </c>
      <c r="F155" s="23" t="s">
        <v>703</v>
      </c>
      <c r="G155" s="23" t="s">
        <v>31</v>
      </c>
      <c r="H155" s="32" t="s">
        <v>36</v>
      </c>
      <c r="I155" s="23" t="s">
        <v>37</v>
      </c>
      <c r="J155" s="23" t="s">
        <v>704</v>
      </c>
      <c r="K155" s="23" t="s">
        <v>705</v>
      </c>
      <c r="L155" s="23" t="n">
        <v>10900</v>
      </c>
      <c r="M155" s="23" t="n">
        <v>1955</v>
      </c>
      <c r="N155" s="23" t="n">
        <v>10</v>
      </c>
      <c r="O155" s="23" t="n">
        <v>19</v>
      </c>
      <c r="P155" s="23" t="n">
        <v>141.54</v>
      </c>
      <c r="Q155" s="24" t="n">
        <v>1258286717125</v>
      </c>
      <c r="R155" s="23" t="n">
        <v>75</v>
      </c>
      <c r="S155" s="23" t="n">
        <v>13.1</v>
      </c>
      <c r="T155" s="23" t="n">
        <v>55.1</v>
      </c>
      <c r="U155" s="23" t="n">
        <v>126014024</v>
      </c>
      <c r="V155" s="33" t="n">
        <f aca="false">YEARFRAC(W155,X155,1)</f>
        <v>70.2559890485969</v>
      </c>
      <c r="W155" s="34" t="n">
        <f aca="false">DATE(M155,N155,O155)</f>
        <v>20381</v>
      </c>
      <c r="X155" s="34" t="n">
        <f aca="true">TODAY()</f>
        <v>46042</v>
      </c>
    </row>
    <row r="156" customFormat="false" ht="15" hidden="false" customHeight="false" outlineLevel="0" collapsed="false">
      <c r="A156" s="23" t="n">
        <v>164</v>
      </c>
      <c r="B156" s="23" t="s">
        <v>75</v>
      </c>
      <c r="C156" s="23" t="s">
        <v>706</v>
      </c>
      <c r="D156" s="23" t="s">
        <v>42</v>
      </c>
      <c r="E156" s="23" t="s">
        <v>77</v>
      </c>
      <c r="F156" s="23" t="s">
        <v>156</v>
      </c>
      <c r="G156" s="23" t="s">
        <v>75</v>
      </c>
      <c r="H156" s="32" t="s">
        <v>36</v>
      </c>
      <c r="I156" s="23" t="s">
        <v>37</v>
      </c>
      <c r="J156" s="23" t="s">
        <v>707</v>
      </c>
      <c r="K156" s="23" t="s">
        <v>476</v>
      </c>
      <c r="L156" s="23" t="n">
        <v>10700</v>
      </c>
      <c r="M156" s="23" t="n">
        <v>1929</v>
      </c>
      <c r="N156" s="23" t="n">
        <v>8</v>
      </c>
      <c r="O156" s="23" t="n">
        <v>5</v>
      </c>
      <c r="P156" s="23" t="n">
        <v>117.24</v>
      </c>
      <c r="Q156" s="24" t="n">
        <v>21427700000000</v>
      </c>
      <c r="R156" s="23" t="n">
        <v>78.5</v>
      </c>
      <c r="S156" s="23" t="n">
        <v>9.6</v>
      </c>
      <c r="T156" s="23" t="n">
        <v>36.6</v>
      </c>
      <c r="U156" s="23" t="n">
        <v>328239523</v>
      </c>
      <c r="V156" s="33" t="n">
        <f aca="false">YEARFRAC(W156,X156,1)</f>
        <v>96.4613063641951</v>
      </c>
      <c r="W156" s="34" t="n">
        <f aca="false">DATE(M156,N156,O156)</f>
        <v>10810</v>
      </c>
      <c r="X156" s="34" t="n">
        <f aca="true">TODAY()</f>
        <v>46042</v>
      </c>
    </row>
    <row r="157" customFormat="false" ht="15" hidden="false" customHeight="false" outlineLevel="0" collapsed="false">
      <c r="A157" s="23" t="n">
        <v>165</v>
      </c>
      <c r="B157" s="23" t="s">
        <v>594</v>
      </c>
      <c r="C157" s="23" t="s">
        <v>708</v>
      </c>
      <c r="D157" s="23" t="s">
        <v>42</v>
      </c>
      <c r="E157" s="23" t="s">
        <v>709</v>
      </c>
      <c r="F157" s="23" t="s">
        <v>710</v>
      </c>
      <c r="G157" s="23" t="s">
        <v>594</v>
      </c>
      <c r="H157" s="32" t="s">
        <v>45</v>
      </c>
      <c r="I157" s="23" t="s">
        <v>37</v>
      </c>
      <c r="J157" s="23" t="s">
        <v>711</v>
      </c>
      <c r="K157" s="23" t="s">
        <v>531</v>
      </c>
      <c r="L157" s="23" t="n">
        <v>10600</v>
      </c>
      <c r="M157" s="23" t="n">
        <v>1941</v>
      </c>
      <c r="N157" s="23" t="n">
        <v>6</v>
      </c>
      <c r="O157" s="23" t="n">
        <v>5</v>
      </c>
      <c r="P157" s="23" t="n">
        <v>117.24</v>
      </c>
      <c r="Q157" s="24" t="n">
        <v>21427700000000</v>
      </c>
      <c r="R157" s="23" t="n">
        <v>78.5</v>
      </c>
      <c r="S157" s="23" t="n">
        <v>9.6</v>
      </c>
      <c r="T157" s="23" t="n">
        <v>36.6</v>
      </c>
      <c r="U157" s="23" t="n">
        <v>328239523</v>
      </c>
      <c r="V157" s="33" t="n">
        <f aca="false">YEARFRAC(W157,X157,1)</f>
        <v>84.6283149215243</v>
      </c>
      <c r="W157" s="34" t="n">
        <f aca="false">DATE(M157,N157,O157)</f>
        <v>15132</v>
      </c>
      <c r="X157" s="34" t="n">
        <f aca="true">TODAY()</f>
        <v>46042</v>
      </c>
    </row>
    <row r="158" customFormat="false" ht="15" hidden="false" customHeight="false" outlineLevel="0" collapsed="false">
      <c r="A158" s="23" t="n">
        <v>165</v>
      </c>
      <c r="B158" s="23" t="s">
        <v>124</v>
      </c>
      <c r="C158" s="23" t="s">
        <v>712</v>
      </c>
      <c r="D158" s="23" t="s">
        <v>713</v>
      </c>
      <c r="E158" s="23" t="s">
        <v>714</v>
      </c>
      <c r="F158" s="23" t="s">
        <v>520</v>
      </c>
      <c r="G158" s="23" t="s">
        <v>124</v>
      </c>
      <c r="H158" s="32" t="s">
        <v>45</v>
      </c>
      <c r="I158" s="23" t="s">
        <v>37</v>
      </c>
      <c r="J158" s="23" t="s">
        <v>715</v>
      </c>
      <c r="K158" s="23" t="s">
        <v>716</v>
      </c>
      <c r="L158" s="23" t="n">
        <v>10600</v>
      </c>
      <c r="M158" s="23" t="n">
        <v>1950</v>
      </c>
      <c r="N158" s="23" t="n">
        <v>1</v>
      </c>
      <c r="O158" s="23" t="n">
        <v>1</v>
      </c>
      <c r="P158" s="23" t="n">
        <v>167.4</v>
      </c>
      <c r="Q158" s="24" t="n">
        <v>1839758040766</v>
      </c>
      <c r="R158" s="23" t="n">
        <v>75.7</v>
      </c>
      <c r="S158" s="23" t="n">
        <v>14.2</v>
      </c>
      <c r="T158" s="23" t="n">
        <v>65.1</v>
      </c>
      <c r="U158" s="23" t="n">
        <v>212559417</v>
      </c>
      <c r="V158" s="33" t="n">
        <f aca="false">YEARFRAC(W158,X158,1)</f>
        <v>76.0526952069407</v>
      </c>
      <c r="W158" s="34" t="n">
        <f aca="false">DATE(M158,N158,O158)</f>
        <v>18264</v>
      </c>
      <c r="X158" s="34" t="n">
        <f aca="true">TODAY()</f>
        <v>46042</v>
      </c>
    </row>
    <row r="159" customFormat="false" ht="15" hidden="false" customHeight="false" outlineLevel="0" collapsed="false">
      <c r="A159" s="23" t="n">
        <v>167</v>
      </c>
      <c r="B159" s="23" t="s">
        <v>62</v>
      </c>
      <c r="C159" s="23" t="s">
        <v>717</v>
      </c>
      <c r="D159" s="23" t="s">
        <v>338</v>
      </c>
      <c r="E159" s="23" t="s">
        <v>339</v>
      </c>
      <c r="F159" s="23" t="s">
        <v>718</v>
      </c>
      <c r="G159" s="23" t="s">
        <v>62</v>
      </c>
      <c r="H159" s="32" t="s">
        <v>45</v>
      </c>
      <c r="I159" s="23" t="s">
        <v>37</v>
      </c>
      <c r="J159" s="23" t="s">
        <v>719</v>
      </c>
      <c r="K159" s="23" t="s">
        <v>720</v>
      </c>
      <c r="L159" s="23" t="n">
        <v>10500</v>
      </c>
      <c r="M159" s="23" t="n">
        <v>1966</v>
      </c>
      <c r="N159" s="23" t="n">
        <v>3</v>
      </c>
      <c r="O159" s="23" t="n">
        <v>12</v>
      </c>
      <c r="P159" s="23" t="n">
        <v>180.75</v>
      </c>
      <c r="Q159" s="24" t="n">
        <v>1699876578871</v>
      </c>
      <c r="R159" s="23" t="n">
        <v>72.7</v>
      </c>
      <c r="S159" s="23" t="n">
        <v>11.4</v>
      </c>
      <c r="T159" s="23" t="n">
        <v>46.2</v>
      </c>
      <c r="U159" s="23" t="n">
        <v>144373535</v>
      </c>
      <c r="V159" s="33" t="n">
        <f aca="false">YEARFRAC(W159,X159,1)</f>
        <v>59.8610412926391</v>
      </c>
      <c r="W159" s="34" t="n">
        <f aca="false">DATE(M159,N159,O159)</f>
        <v>24178</v>
      </c>
      <c r="X159" s="34" t="n">
        <f aca="true">TODAY()</f>
        <v>46042</v>
      </c>
    </row>
    <row r="160" customFormat="false" ht="15" hidden="false" customHeight="false" outlineLevel="0" collapsed="false">
      <c r="A160" s="23" t="n">
        <v>167</v>
      </c>
      <c r="B160" s="23" t="s">
        <v>31</v>
      </c>
      <c r="C160" s="23" t="s">
        <v>721</v>
      </c>
      <c r="D160" s="23" t="s">
        <v>126</v>
      </c>
      <c r="E160" s="23" t="s">
        <v>606</v>
      </c>
      <c r="F160" s="23" t="s">
        <v>261</v>
      </c>
      <c r="G160" s="23" t="s">
        <v>31</v>
      </c>
      <c r="H160" s="32" t="s">
        <v>45</v>
      </c>
      <c r="I160" s="23" t="s">
        <v>37</v>
      </c>
      <c r="J160" s="23" t="s">
        <v>555</v>
      </c>
      <c r="K160" s="23" t="s">
        <v>722</v>
      </c>
      <c r="L160" s="23" t="n">
        <v>10500</v>
      </c>
      <c r="M160" s="23" t="n">
        <v>1984</v>
      </c>
      <c r="N160" s="23" t="n">
        <v>1</v>
      </c>
      <c r="O160" s="23" t="n">
        <v>1</v>
      </c>
      <c r="P160" s="23" t="n">
        <v>125.08</v>
      </c>
      <c r="Q160" s="24" t="n">
        <v>19910000000000</v>
      </c>
      <c r="R160" s="23" t="n">
        <v>77</v>
      </c>
      <c r="S160" s="23" t="n">
        <v>9.4</v>
      </c>
      <c r="T160" s="23" t="n">
        <v>59.2</v>
      </c>
      <c r="U160" s="23" t="n">
        <v>1397715000</v>
      </c>
      <c r="V160" s="33" t="n">
        <f aca="false">YEARFRAC(W160,X160,1)</f>
        <v>42.0527187062269</v>
      </c>
      <c r="W160" s="34" t="n">
        <f aca="false">DATE(M160,N160,O160)</f>
        <v>30682</v>
      </c>
      <c r="X160" s="34" t="n">
        <f aca="true">TODAY()</f>
        <v>46042</v>
      </c>
    </row>
    <row r="161" customFormat="false" ht="15" hidden="false" customHeight="false" outlineLevel="0" collapsed="false">
      <c r="A161" s="23" t="n">
        <v>167</v>
      </c>
      <c r="B161" s="23" t="s">
        <v>62</v>
      </c>
      <c r="C161" s="23" t="s">
        <v>723</v>
      </c>
      <c r="D161" s="23" t="s">
        <v>318</v>
      </c>
      <c r="E161" s="23" t="s">
        <v>649</v>
      </c>
      <c r="F161" s="23" t="s">
        <v>724</v>
      </c>
      <c r="G161" s="23" t="s">
        <v>62</v>
      </c>
      <c r="H161" s="32" t="s">
        <v>45</v>
      </c>
      <c r="I161" s="23" t="s">
        <v>37</v>
      </c>
      <c r="J161" s="23" t="s">
        <v>725</v>
      </c>
      <c r="K161" s="23" t="s">
        <v>726</v>
      </c>
      <c r="L161" s="23" t="n">
        <v>10500</v>
      </c>
      <c r="M161" s="23" t="n">
        <v>1977</v>
      </c>
      <c r="N161" s="23" t="n">
        <v>9</v>
      </c>
      <c r="O161" s="23" t="n">
        <v>10</v>
      </c>
      <c r="P161" s="23" t="n">
        <v>114.52</v>
      </c>
      <c r="Q161" s="24" t="n">
        <v>421142267938</v>
      </c>
      <c r="R161" s="23" t="n">
        <v>77.8</v>
      </c>
      <c r="S161" s="23" t="n">
        <v>0.1</v>
      </c>
      <c r="T161" s="23" t="n">
        <v>15.9</v>
      </c>
      <c r="U161" s="23" t="n">
        <v>9770529</v>
      </c>
      <c r="V161" s="33" t="n">
        <f aca="false">YEARFRAC(W161,X161,1)</f>
        <v>48.3627204030227</v>
      </c>
      <c r="W161" s="34" t="n">
        <f aca="false">DATE(M161,N161,O161)</f>
        <v>28378</v>
      </c>
      <c r="X161" s="34" t="n">
        <f aca="true">TODAY()</f>
        <v>46042</v>
      </c>
    </row>
    <row r="162" customFormat="false" ht="15" hidden="false" customHeight="false" outlineLevel="0" collapsed="false">
      <c r="A162" s="23" t="n">
        <v>170</v>
      </c>
      <c r="B162" s="23" t="s">
        <v>62</v>
      </c>
      <c r="C162" s="23" t="s">
        <v>727</v>
      </c>
      <c r="D162" s="23" t="s">
        <v>42</v>
      </c>
      <c r="E162" s="23" t="s">
        <v>596</v>
      </c>
      <c r="F162" s="23" t="s">
        <v>728</v>
      </c>
      <c r="G162" s="23" t="s">
        <v>62</v>
      </c>
      <c r="H162" s="32" t="s">
        <v>45</v>
      </c>
      <c r="I162" s="23" t="s">
        <v>37</v>
      </c>
      <c r="J162" s="23" t="s">
        <v>729</v>
      </c>
      <c r="K162" s="23" t="s">
        <v>421</v>
      </c>
      <c r="L162" s="23" t="n">
        <v>10300</v>
      </c>
      <c r="M162" s="23" t="n">
        <v>1952</v>
      </c>
      <c r="N162" s="23" t="n">
        <v>11</v>
      </c>
      <c r="O162" s="23" t="n">
        <v>29</v>
      </c>
      <c r="P162" s="23" t="n">
        <v>117.24</v>
      </c>
      <c r="Q162" s="24" t="n">
        <v>21427700000000</v>
      </c>
      <c r="R162" s="23" t="n">
        <v>78.5</v>
      </c>
      <c r="S162" s="23" t="n">
        <v>9.6</v>
      </c>
      <c r="T162" s="23" t="n">
        <v>36.6</v>
      </c>
      <c r="U162" s="23" t="n">
        <v>328239523</v>
      </c>
      <c r="V162" s="33" t="n">
        <f aca="false">YEARFRAC(W162,X162,1)</f>
        <v>73.1410162809374</v>
      </c>
      <c r="W162" s="34" t="n">
        <f aca="false">DATE(M162,N162,O162)</f>
        <v>19327</v>
      </c>
      <c r="X162" s="34" t="n">
        <f aca="true">TODAY()</f>
        <v>46042</v>
      </c>
    </row>
    <row r="163" customFormat="false" ht="15" hidden="false" customHeight="false" outlineLevel="0" collapsed="false">
      <c r="A163" s="23" t="n">
        <v>171</v>
      </c>
      <c r="B163" s="23" t="s">
        <v>49</v>
      </c>
      <c r="C163" s="23" t="s">
        <v>730</v>
      </c>
      <c r="D163" s="23" t="s">
        <v>288</v>
      </c>
      <c r="E163" s="23" t="s">
        <v>611</v>
      </c>
      <c r="F163" s="23" t="s">
        <v>731</v>
      </c>
      <c r="G163" s="23" t="s">
        <v>49</v>
      </c>
      <c r="H163" s="32" t="s">
        <v>45</v>
      </c>
      <c r="I163" s="23" t="s">
        <v>37</v>
      </c>
      <c r="J163" s="23" t="s">
        <v>732</v>
      </c>
      <c r="K163" s="23" t="s">
        <v>733</v>
      </c>
      <c r="L163" s="23" t="n">
        <v>10200</v>
      </c>
      <c r="M163" s="23" t="n">
        <v>1979</v>
      </c>
      <c r="N163" s="23" t="n">
        <v>11</v>
      </c>
      <c r="O163" s="23" t="n">
        <v>17</v>
      </c>
      <c r="P163" s="23" t="n">
        <v>119.8</v>
      </c>
      <c r="Q163" s="24" t="n">
        <v>1392680589329</v>
      </c>
      <c r="R163" s="23" t="n">
        <v>82.7</v>
      </c>
      <c r="S163" s="23" t="n">
        <v>23</v>
      </c>
      <c r="T163" s="23" t="n">
        <v>47.4</v>
      </c>
      <c r="U163" s="23" t="n">
        <v>25766605</v>
      </c>
      <c r="V163" s="33" t="n">
        <f aca="false">YEARFRAC(W163,X163,1)</f>
        <v>46.17659137577</v>
      </c>
      <c r="W163" s="34" t="n">
        <f aca="false">DATE(M163,N163,O163)</f>
        <v>29176</v>
      </c>
      <c r="X163" s="34" t="n">
        <f aca="true">TODAY()</f>
        <v>46042</v>
      </c>
    </row>
    <row r="164" customFormat="false" ht="15" hidden="false" customHeight="false" outlineLevel="0" collapsed="false">
      <c r="A164" s="23" t="n">
        <v>171</v>
      </c>
      <c r="B164" s="23" t="s">
        <v>360</v>
      </c>
      <c r="C164" s="23" t="s">
        <v>734</v>
      </c>
      <c r="D164" s="23" t="s">
        <v>42</v>
      </c>
      <c r="E164" s="23" t="s">
        <v>735</v>
      </c>
      <c r="F164" s="23" t="s">
        <v>554</v>
      </c>
      <c r="G164" s="23" t="s">
        <v>360</v>
      </c>
      <c r="H164" s="32" t="s">
        <v>36</v>
      </c>
      <c r="I164" s="23" t="s">
        <v>37</v>
      </c>
      <c r="J164" s="23" t="s">
        <v>736</v>
      </c>
      <c r="K164" s="23" t="s">
        <v>466</v>
      </c>
      <c r="L164" s="23" t="n">
        <v>10200</v>
      </c>
      <c r="M164" s="23" t="n">
        <v>1962</v>
      </c>
      <c r="N164" s="23" t="n">
        <v>8</v>
      </c>
      <c r="O164" s="23" t="n">
        <v>19</v>
      </c>
      <c r="P164" s="23" t="n">
        <v>117.24</v>
      </c>
      <c r="Q164" s="24" t="n">
        <v>21427700000000</v>
      </c>
      <c r="R164" s="23" t="n">
        <v>78.5</v>
      </c>
      <c r="S164" s="23" t="n">
        <v>9.6</v>
      </c>
      <c r="T164" s="23" t="n">
        <v>36.6</v>
      </c>
      <c r="U164" s="23" t="n">
        <v>328239523</v>
      </c>
      <c r="V164" s="33" t="n">
        <f aca="false">YEARFRAC(W164,X164,1)</f>
        <v>63.4229813402974</v>
      </c>
      <c r="W164" s="34" t="n">
        <f aca="false">DATE(M164,N164,O164)</f>
        <v>22877</v>
      </c>
      <c r="X164" s="34" t="n">
        <f aca="true">TODAY()</f>
        <v>46042</v>
      </c>
    </row>
    <row r="165" customFormat="false" ht="15" hidden="false" customHeight="false" outlineLevel="0" collapsed="false">
      <c r="A165" s="23" t="n">
        <v>171</v>
      </c>
      <c r="B165" s="23" t="s">
        <v>49</v>
      </c>
      <c r="C165" s="23" t="s">
        <v>737</v>
      </c>
      <c r="D165" s="23" t="s">
        <v>42</v>
      </c>
      <c r="E165" s="23" t="s">
        <v>738</v>
      </c>
      <c r="F165" s="23" t="s">
        <v>739</v>
      </c>
      <c r="G165" s="23" t="s">
        <v>49</v>
      </c>
      <c r="H165" s="32" t="s">
        <v>45</v>
      </c>
      <c r="I165" s="23" t="s">
        <v>37</v>
      </c>
      <c r="J165" s="23" t="s">
        <v>740</v>
      </c>
      <c r="K165" s="23" t="s">
        <v>158</v>
      </c>
      <c r="L165" s="23" t="n">
        <v>10200</v>
      </c>
      <c r="M165" s="23" t="n">
        <v>1940</v>
      </c>
      <c r="N165" s="23" t="n">
        <v>9</v>
      </c>
      <c r="O165" s="23" t="n">
        <v>21</v>
      </c>
      <c r="P165" s="23" t="n">
        <v>117.24</v>
      </c>
      <c r="Q165" s="24" t="n">
        <v>21427700000000</v>
      </c>
      <c r="R165" s="23" t="n">
        <v>78.5</v>
      </c>
      <c r="S165" s="23" t="n">
        <v>9.6</v>
      </c>
      <c r="T165" s="23" t="n">
        <v>36.6</v>
      </c>
      <c r="U165" s="23" t="n">
        <v>328239523</v>
      </c>
      <c r="V165" s="33" t="n">
        <f aca="false">YEARFRAC(W165,X165,1)</f>
        <v>85.3299241589829</v>
      </c>
      <c r="W165" s="34" t="n">
        <f aca="false">DATE(M165,N165,O165)</f>
        <v>14875</v>
      </c>
      <c r="X165" s="34" t="n">
        <f aca="true">TODAY()</f>
        <v>46042</v>
      </c>
    </row>
    <row r="166" customFormat="false" ht="15" hidden="false" customHeight="false" outlineLevel="0" collapsed="false">
      <c r="A166" s="23" t="n">
        <v>171</v>
      </c>
      <c r="B166" s="23" t="s">
        <v>305</v>
      </c>
      <c r="C166" s="23" t="s">
        <v>741</v>
      </c>
      <c r="D166" s="23" t="s">
        <v>42</v>
      </c>
      <c r="E166" s="23" t="s">
        <v>742</v>
      </c>
      <c r="F166" s="23" t="s">
        <v>412</v>
      </c>
      <c r="G166" s="23" t="s">
        <v>305</v>
      </c>
      <c r="H166" s="32" t="s">
        <v>45</v>
      </c>
      <c r="I166" s="23" t="s">
        <v>37</v>
      </c>
      <c r="J166" s="23" t="s">
        <v>743</v>
      </c>
      <c r="K166" s="23" t="s">
        <v>744</v>
      </c>
      <c r="L166" s="23" t="n">
        <v>10200</v>
      </c>
      <c r="M166" s="23" t="n">
        <v>1959</v>
      </c>
      <c r="N166" s="23" t="n">
        <v>3</v>
      </c>
      <c r="O166" s="23" t="n">
        <v>5</v>
      </c>
      <c r="P166" s="23" t="n">
        <v>117.24</v>
      </c>
      <c r="Q166" s="24" t="n">
        <v>21427700000000</v>
      </c>
      <c r="R166" s="23" t="n">
        <v>78.5</v>
      </c>
      <c r="S166" s="23" t="n">
        <v>9.6</v>
      </c>
      <c r="T166" s="23" t="n">
        <v>36.6</v>
      </c>
      <c r="U166" s="23" t="n">
        <v>328239523</v>
      </c>
      <c r="V166" s="33" t="n">
        <f aca="false">YEARFRAC(W166,X166,1)</f>
        <v>66.880219028063</v>
      </c>
      <c r="W166" s="34" t="n">
        <f aca="false">DATE(M166,N166,O166)</f>
        <v>21614</v>
      </c>
      <c r="X166" s="34" t="n">
        <f aca="true">TODAY()</f>
        <v>46042</v>
      </c>
    </row>
    <row r="167" customFormat="false" ht="15" hidden="false" customHeight="false" outlineLevel="0" collapsed="false">
      <c r="A167" s="23" t="n">
        <v>171</v>
      </c>
      <c r="B167" s="23" t="s">
        <v>264</v>
      </c>
      <c r="C167" s="23" t="s">
        <v>745</v>
      </c>
      <c r="D167" s="23" t="s">
        <v>338</v>
      </c>
      <c r="E167" s="23" t="s">
        <v>746</v>
      </c>
      <c r="F167" s="23" t="s">
        <v>458</v>
      </c>
      <c r="G167" s="23" t="s">
        <v>264</v>
      </c>
      <c r="H167" s="32" t="s">
        <v>45</v>
      </c>
      <c r="I167" s="23" t="s">
        <v>37</v>
      </c>
      <c r="J167" s="23" t="s">
        <v>747</v>
      </c>
      <c r="K167" s="23" t="s">
        <v>748</v>
      </c>
      <c r="L167" s="23" t="n">
        <v>10200</v>
      </c>
      <c r="M167" s="23" t="n">
        <v>1948</v>
      </c>
      <c r="N167" s="23" t="n">
        <v>10</v>
      </c>
      <c r="O167" s="23" t="n">
        <v>13</v>
      </c>
      <c r="P167" s="23" t="n">
        <v>180.75</v>
      </c>
      <c r="Q167" s="24" t="n">
        <v>1699876578871</v>
      </c>
      <c r="R167" s="23" t="n">
        <v>72.7</v>
      </c>
      <c r="S167" s="23" t="n">
        <v>11.4</v>
      </c>
      <c r="T167" s="23" t="n">
        <v>46.2</v>
      </c>
      <c r="U167" s="23" t="n">
        <v>144373535</v>
      </c>
      <c r="V167" s="33" t="n">
        <f aca="false">YEARFRAC(W167,X167,1)</f>
        <v>77.2696932940565</v>
      </c>
      <c r="W167" s="34" t="n">
        <f aca="false">DATE(M167,N167,O167)</f>
        <v>17819</v>
      </c>
      <c r="X167" s="34" t="n">
        <f aca="true">TODAY()</f>
        <v>46042</v>
      </c>
    </row>
    <row r="168" customFormat="false" ht="15" hidden="false" customHeight="false" outlineLevel="0" collapsed="false">
      <c r="A168" s="23" t="n">
        <v>171</v>
      </c>
      <c r="B168" s="23" t="s">
        <v>49</v>
      </c>
      <c r="C168" s="23" t="s">
        <v>749</v>
      </c>
      <c r="D168" s="23" t="s">
        <v>561</v>
      </c>
      <c r="E168" s="23" t="s">
        <v>561</v>
      </c>
      <c r="F168" s="23" t="s">
        <v>133</v>
      </c>
      <c r="G168" s="23" t="s">
        <v>49</v>
      </c>
      <c r="H168" s="32" t="s">
        <v>45</v>
      </c>
      <c r="I168" s="23" t="s">
        <v>37</v>
      </c>
      <c r="J168" s="23" t="s">
        <v>750</v>
      </c>
      <c r="K168" s="23" t="s">
        <v>751</v>
      </c>
      <c r="L168" s="23" t="n">
        <v>10200</v>
      </c>
      <c r="M168" s="23" t="n">
        <v>1982</v>
      </c>
      <c r="N168" s="23" t="n">
        <v>3</v>
      </c>
      <c r="O168" s="23" t="n">
        <v>19</v>
      </c>
      <c r="P168" s="23" t="n">
        <v>114.41</v>
      </c>
      <c r="Q168" s="24" t="n">
        <v>372062527489</v>
      </c>
      <c r="R168" s="23" t="n">
        <v>83.1</v>
      </c>
      <c r="S168" s="23" t="n">
        <v>13.1</v>
      </c>
      <c r="T168" s="23" t="n">
        <v>21</v>
      </c>
      <c r="U168" s="23" t="n">
        <v>5703569</v>
      </c>
      <c r="V168" s="33" t="n">
        <f aca="false">YEARFRAC(W168,X168,1)</f>
        <v>43.8418715015819</v>
      </c>
      <c r="W168" s="34" t="n">
        <f aca="false">DATE(M168,N168,O168)</f>
        <v>30029</v>
      </c>
      <c r="X168" s="34" t="n">
        <f aca="true">TODAY()</f>
        <v>46042</v>
      </c>
    </row>
    <row r="169" customFormat="false" ht="15" hidden="false" customHeight="false" outlineLevel="0" collapsed="false">
      <c r="A169" s="23" t="n">
        <v>171</v>
      </c>
      <c r="B169" s="23" t="s">
        <v>40</v>
      </c>
      <c r="C169" s="23" t="s">
        <v>752</v>
      </c>
      <c r="D169" s="23" t="s">
        <v>178</v>
      </c>
      <c r="E169" s="23" t="s">
        <v>753</v>
      </c>
      <c r="F169" s="23" t="s">
        <v>639</v>
      </c>
      <c r="G169" s="23" t="s">
        <v>40</v>
      </c>
      <c r="H169" s="32" t="s">
        <v>36</v>
      </c>
      <c r="I169" s="23" t="s">
        <v>37</v>
      </c>
      <c r="J169" s="23" t="s">
        <v>754</v>
      </c>
      <c r="K169" s="23" t="s">
        <v>755</v>
      </c>
      <c r="L169" s="23" t="n">
        <v>10200</v>
      </c>
      <c r="M169" s="23" t="n">
        <v>1964</v>
      </c>
      <c r="N169" s="23" t="n">
        <v>10</v>
      </c>
      <c r="O169" s="23" t="n">
        <v>19</v>
      </c>
      <c r="P169" s="23" t="n">
        <v>112.85</v>
      </c>
      <c r="Q169" s="24" t="n">
        <v>3845630030824</v>
      </c>
      <c r="R169" s="23" t="n">
        <v>80.9</v>
      </c>
      <c r="S169" s="23" t="n">
        <v>11.5</v>
      </c>
      <c r="T169" s="23" t="n">
        <v>48.8</v>
      </c>
      <c r="U169" s="23" t="n">
        <v>83132799</v>
      </c>
      <c r="V169" s="33" t="n">
        <f aca="false">YEARFRAC(W169,X169,1)</f>
        <v>61.2532701751336</v>
      </c>
      <c r="W169" s="34" t="n">
        <f aca="false">DATE(M169,N169,O169)</f>
        <v>23669</v>
      </c>
      <c r="X169" s="34" t="n">
        <f aca="true">TODAY()</f>
        <v>46042</v>
      </c>
    </row>
    <row r="170" customFormat="false" ht="15" hidden="false" customHeight="false" outlineLevel="0" collapsed="false">
      <c r="A170" s="23" t="n">
        <v>171</v>
      </c>
      <c r="B170" s="23" t="s">
        <v>31</v>
      </c>
      <c r="C170" s="23" t="s">
        <v>756</v>
      </c>
      <c r="D170" s="23" t="s">
        <v>42</v>
      </c>
      <c r="E170" s="23" t="s">
        <v>206</v>
      </c>
      <c r="F170" s="23" t="s">
        <v>145</v>
      </c>
      <c r="G170" s="23" t="s">
        <v>31</v>
      </c>
      <c r="H170" s="32" t="s">
        <v>36</v>
      </c>
      <c r="I170" s="23" t="s">
        <v>103</v>
      </c>
      <c r="J170" s="23" t="s">
        <v>146</v>
      </c>
      <c r="K170" s="23" t="s">
        <v>757</v>
      </c>
      <c r="L170" s="23" t="n">
        <v>10200</v>
      </c>
      <c r="M170" s="23" t="n">
        <v>1949</v>
      </c>
      <c r="N170" s="23" t="n">
        <v>2</v>
      </c>
      <c r="O170" s="23" t="n">
        <v>8</v>
      </c>
      <c r="P170" s="23" t="n">
        <v>117.24</v>
      </c>
      <c r="Q170" s="24" t="n">
        <v>21427700000000</v>
      </c>
      <c r="R170" s="23" t="n">
        <v>78.5</v>
      </c>
      <c r="S170" s="23" t="n">
        <v>9.6</v>
      </c>
      <c r="T170" s="23" t="n">
        <v>36.6</v>
      </c>
      <c r="U170" s="23" t="n">
        <v>328239523</v>
      </c>
      <c r="V170" s="33" t="n">
        <f aca="false">YEARFRAC(W170,X170,1)</f>
        <v>76.9486468461512</v>
      </c>
      <c r="W170" s="34" t="n">
        <f aca="false">DATE(M170,N170,O170)</f>
        <v>17937</v>
      </c>
      <c r="X170" s="34" t="n">
        <f aca="true">TODAY()</f>
        <v>46042</v>
      </c>
    </row>
    <row r="171" customFormat="false" ht="15" hidden="false" customHeight="false" outlineLevel="0" collapsed="false">
      <c r="A171" s="23" t="n">
        <v>179</v>
      </c>
      <c r="B171" s="23" t="s">
        <v>49</v>
      </c>
      <c r="C171" s="23" t="s">
        <v>758</v>
      </c>
      <c r="D171" s="23" t="s">
        <v>288</v>
      </c>
      <c r="E171" s="23" t="s">
        <v>611</v>
      </c>
      <c r="F171" s="23" t="s">
        <v>731</v>
      </c>
      <c r="G171" s="23" t="s">
        <v>49</v>
      </c>
      <c r="H171" s="32" t="s">
        <v>45</v>
      </c>
      <c r="I171" s="23" t="s">
        <v>37</v>
      </c>
      <c r="J171" s="23" t="s">
        <v>759</v>
      </c>
      <c r="K171" s="23" t="s">
        <v>330</v>
      </c>
      <c r="L171" s="23" t="n">
        <v>10100</v>
      </c>
      <c r="M171" s="23" t="n">
        <v>1979</v>
      </c>
      <c r="N171" s="23" t="n">
        <v>12</v>
      </c>
      <c r="O171" s="23" t="n">
        <v>17</v>
      </c>
      <c r="P171" s="23" t="n">
        <v>119.8</v>
      </c>
      <c r="Q171" s="24" t="n">
        <v>1392680589329</v>
      </c>
      <c r="R171" s="23" t="n">
        <v>82.7</v>
      </c>
      <c r="S171" s="23" t="n">
        <v>23</v>
      </c>
      <c r="T171" s="23" t="n">
        <v>47.4</v>
      </c>
      <c r="U171" s="23" t="n">
        <v>25766605</v>
      </c>
      <c r="V171" s="33" t="n">
        <f aca="false">YEARFRAC(W171,X171,1)</f>
        <v>46.0944558521561</v>
      </c>
      <c r="W171" s="34" t="n">
        <f aca="false">DATE(M171,N171,O171)</f>
        <v>29206</v>
      </c>
      <c r="X171" s="34" t="n">
        <f aca="true">TODAY()</f>
        <v>46042</v>
      </c>
    </row>
    <row r="172" customFormat="false" ht="15" hidden="false" customHeight="false" outlineLevel="0" collapsed="false">
      <c r="A172" s="23" t="n">
        <v>179</v>
      </c>
      <c r="B172" s="23" t="s">
        <v>89</v>
      </c>
      <c r="C172" s="23" t="s">
        <v>760</v>
      </c>
      <c r="D172" s="23" t="s">
        <v>761</v>
      </c>
      <c r="E172" s="23" t="s">
        <v>762</v>
      </c>
      <c r="F172" s="23" t="s">
        <v>763</v>
      </c>
      <c r="G172" s="23" t="s">
        <v>89</v>
      </c>
      <c r="H172" s="32" t="s">
        <v>36</v>
      </c>
      <c r="I172" s="23" t="s">
        <v>37</v>
      </c>
      <c r="J172" s="23" t="s">
        <v>764</v>
      </c>
      <c r="K172" s="23" t="s">
        <v>765</v>
      </c>
      <c r="L172" s="23" t="n">
        <v>10100</v>
      </c>
      <c r="M172" s="23" t="n">
        <v>1941</v>
      </c>
      <c r="N172" s="23" t="n">
        <v>8</v>
      </c>
      <c r="O172" s="23" t="n">
        <v>12</v>
      </c>
      <c r="P172" s="23" t="n">
        <v>121.46</v>
      </c>
      <c r="Q172" s="24" t="n">
        <v>364701517788</v>
      </c>
      <c r="R172" s="23" t="n">
        <v>76</v>
      </c>
      <c r="S172" s="23" t="n">
        <v>12</v>
      </c>
      <c r="T172" s="23" t="n">
        <v>38.7</v>
      </c>
      <c r="U172" s="23" t="n">
        <v>32447385</v>
      </c>
      <c r="V172" s="33" t="n">
        <f aca="false">YEARFRAC(W172,X172,1)</f>
        <v>84.4421381044857</v>
      </c>
      <c r="W172" s="34" t="n">
        <f aca="false">DATE(M172,N172,O172)</f>
        <v>15200</v>
      </c>
      <c r="X172" s="34" t="n">
        <f aca="true">TODAY()</f>
        <v>46042</v>
      </c>
    </row>
    <row r="173" customFormat="false" ht="15" hidden="false" customHeight="false" outlineLevel="0" collapsed="false">
      <c r="A173" s="23" t="n">
        <v>179</v>
      </c>
      <c r="B173" s="23" t="s">
        <v>471</v>
      </c>
      <c r="C173" s="23" t="s">
        <v>766</v>
      </c>
      <c r="D173" s="23" t="s">
        <v>126</v>
      </c>
      <c r="E173" s="23" t="s">
        <v>173</v>
      </c>
      <c r="F173" s="23" t="s">
        <v>474</v>
      </c>
      <c r="G173" s="23" t="s">
        <v>471</v>
      </c>
      <c r="H173" s="32" t="s">
        <v>45</v>
      </c>
      <c r="I173" s="23" t="s">
        <v>103</v>
      </c>
      <c r="J173" s="23" t="s">
        <v>767</v>
      </c>
      <c r="K173" s="23" t="s">
        <v>768</v>
      </c>
      <c r="L173" s="23" t="n">
        <v>10100</v>
      </c>
      <c r="M173" s="23" t="n">
        <v>1964</v>
      </c>
      <c r="N173" s="23" t="n">
        <v>1</v>
      </c>
      <c r="O173" s="23" t="n">
        <v>1</v>
      </c>
      <c r="P173" s="23" t="n">
        <v>125.08</v>
      </c>
      <c r="Q173" s="24" t="n">
        <v>19910000000000</v>
      </c>
      <c r="R173" s="23" t="n">
        <v>77</v>
      </c>
      <c r="S173" s="23" t="n">
        <v>9.4</v>
      </c>
      <c r="T173" s="23" t="n">
        <v>59.2</v>
      </c>
      <c r="U173" s="23" t="n">
        <v>1397715000</v>
      </c>
      <c r="V173" s="33" t="n">
        <f aca="false">YEARFRAC(W173,X173,1)</f>
        <v>62.0527139194298</v>
      </c>
      <c r="W173" s="34" t="n">
        <f aca="false">DATE(M173,N173,O173)</f>
        <v>23377</v>
      </c>
      <c r="X173" s="34" t="n">
        <f aca="true">TODAY()</f>
        <v>46042</v>
      </c>
    </row>
    <row r="174" customFormat="false" ht="15" hidden="false" customHeight="false" outlineLevel="0" collapsed="false">
      <c r="A174" s="23" t="n">
        <v>182</v>
      </c>
      <c r="B174" s="23" t="s">
        <v>305</v>
      </c>
      <c r="C174" s="23" t="s">
        <v>769</v>
      </c>
      <c r="D174" s="23" t="s">
        <v>42</v>
      </c>
      <c r="E174" s="23" t="s">
        <v>770</v>
      </c>
      <c r="F174" s="23" t="s">
        <v>412</v>
      </c>
      <c r="G174" s="23" t="s">
        <v>305</v>
      </c>
      <c r="H174" s="32" t="s">
        <v>45</v>
      </c>
      <c r="I174" s="23" t="s">
        <v>37</v>
      </c>
      <c r="J174" s="23" t="s">
        <v>771</v>
      </c>
      <c r="K174" s="23" t="s">
        <v>772</v>
      </c>
      <c r="L174" s="23" t="n">
        <v>10000</v>
      </c>
      <c r="M174" s="23" t="n">
        <v>1938</v>
      </c>
      <c r="N174" s="23" t="n">
        <v>3</v>
      </c>
      <c r="O174" s="23" t="n">
        <v>8</v>
      </c>
      <c r="P174" s="23" t="n">
        <v>117.24</v>
      </c>
      <c r="Q174" s="24" t="n">
        <v>21427700000000</v>
      </c>
      <c r="R174" s="23" t="n">
        <v>78.5</v>
      </c>
      <c r="S174" s="23" t="n">
        <v>9.6</v>
      </c>
      <c r="T174" s="23" t="n">
        <v>36.6</v>
      </c>
      <c r="U174" s="23" t="n">
        <v>328239523</v>
      </c>
      <c r="V174" s="33" t="n">
        <f aca="false">YEARFRAC(W174,X174,1)</f>
        <v>87.8719968006891</v>
      </c>
      <c r="W174" s="34" t="n">
        <f aca="false">DATE(M174,N174,O174)</f>
        <v>13947</v>
      </c>
      <c r="X174" s="34" t="n">
        <f aca="true">TODAY()</f>
        <v>46042</v>
      </c>
    </row>
    <row r="175" customFormat="false" ht="15" hidden="false" customHeight="false" outlineLevel="0" collapsed="false">
      <c r="A175" s="23" t="n">
        <v>183</v>
      </c>
      <c r="B175" s="23" t="s">
        <v>390</v>
      </c>
      <c r="C175" s="23" t="s">
        <v>773</v>
      </c>
      <c r="D175" s="23" t="s">
        <v>126</v>
      </c>
      <c r="E175" s="23" t="s">
        <v>260</v>
      </c>
      <c r="F175" s="23" t="s">
        <v>89</v>
      </c>
      <c r="G175" s="23" t="s">
        <v>390</v>
      </c>
      <c r="H175" s="32" t="s">
        <v>45</v>
      </c>
      <c r="I175" s="23" t="s">
        <v>37</v>
      </c>
      <c r="J175" s="23" t="s">
        <v>661</v>
      </c>
      <c r="K175" s="23" t="s">
        <v>774</v>
      </c>
      <c r="L175" s="23" t="n">
        <v>9900</v>
      </c>
      <c r="M175" s="23" t="n">
        <v>1948</v>
      </c>
      <c r="N175" s="23" t="n">
        <v>6</v>
      </c>
      <c r="O175" s="23" t="n">
        <v>1</v>
      </c>
      <c r="P175" s="23" t="n">
        <v>125.08</v>
      </c>
      <c r="Q175" s="24" t="n">
        <v>19910000000000</v>
      </c>
      <c r="R175" s="23" t="n">
        <v>77</v>
      </c>
      <c r="S175" s="23" t="n">
        <v>9.4</v>
      </c>
      <c r="T175" s="23" t="n">
        <v>59.2</v>
      </c>
      <c r="U175" s="23" t="n">
        <v>1397715000</v>
      </c>
      <c r="V175" s="33" t="n">
        <f aca="false">YEARFRAC(W175,X175,1)</f>
        <v>77.6365621209496</v>
      </c>
      <c r="W175" s="34" t="n">
        <f aca="false">DATE(M175,N175,O175)</f>
        <v>17685</v>
      </c>
      <c r="X175" s="34" t="n">
        <f aca="true">TODAY()</f>
        <v>46042</v>
      </c>
    </row>
    <row r="176" customFormat="false" ht="15" hidden="false" customHeight="false" outlineLevel="0" collapsed="false">
      <c r="A176" s="23" t="n">
        <v>184</v>
      </c>
      <c r="B176" s="23" t="s">
        <v>89</v>
      </c>
      <c r="C176" s="23" t="s">
        <v>775</v>
      </c>
      <c r="D176" s="23" t="s">
        <v>318</v>
      </c>
      <c r="E176" s="23" t="s">
        <v>649</v>
      </c>
      <c r="F176" s="23" t="s">
        <v>164</v>
      </c>
      <c r="G176" s="23" t="s">
        <v>89</v>
      </c>
      <c r="H176" s="32" t="s">
        <v>45</v>
      </c>
      <c r="I176" s="23" t="s">
        <v>37</v>
      </c>
      <c r="J176" s="23" t="s">
        <v>165</v>
      </c>
      <c r="K176" s="23" t="s">
        <v>776</v>
      </c>
      <c r="L176" s="23" t="n">
        <v>9800</v>
      </c>
      <c r="M176" s="23" t="n">
        <v>1949</v>
      </c>
      <c r="N176" s="23" t="n">
        <v>1</v>
      </c>
      <c r="O176" s="23" t="n">
        <v>10</v>
      </c>
      <c r="P176" s="23" t="n">
        <v>114.52</v>
      </c>
      <c r="Q176" s="24" t="n">
        <v>421142267938</v>
      </c>
      <c r="R176" s="23" t="n">
        <v>77.8</v>
      </c>
      <c r="S176" s="23" t="n">
        <v>0.1</v>
      </c>
      <c r="T176" s="23" t="n">
        <v>15.9</v>
      </c>
      <c r="U176" s="23" t="n">
        <v>9770529</v>
      </c>
      <c r="V176" s="33" t="n">
        <f aca="false">YEARFRAC(W176,X176,1)</f>
        <v>77.0280459124574</v>
      </c>
      <c r="W176" s="34" t="n">
        <f aca="false">DATE(M176,N176,O176)</f>
        <v>17908</v>
      </c>
      <c r="X176" s="34" t="n">
        <f aca="true">TODAY()</f>
        <v>46042</v>
      </c>
    </row>
    <row r="177" customFormat="false" ht="15" hidden="false" customHeight="false" outlineLevel="0" collapsed="false">
      <c r="A177" s="23" t="n">
        <v>184</v>
      </c>
      <c r="B177" s="23" t="s">
        <v>31</v>
      </c>
      <c r="C177" s="23" t="s">
        <v>777</v>
      </c>
      <c r="D177" s="23" t="s">
        <v>189</v>
      </c>
      <c r="E177" s="23" t="s">
        <v>778</v>
      </c>
      <c r="F177" s="23" t="s">
        <v>779</v>
      </c>
      <c r="G177" s="23" t="s">
        <v>31</v>
      </c>
      <c r="H177" s="32" t="s">
        <v>36</v>
      </c>
      <c r="I177" s="23" t="s">
        <v>37</v>
      </c>
      <c r="J177" s="23" t="s">
        <v>780</v>
      </c>
      <c r="K177" s="23" t="s">
        <v>781</v>
      </c>
      <c r="L177" s="23" t="n">
        <v>9800</v>
      </c>
      <c r="M177" s="23" t="n">
        <v>1943</v>
      </c>
      <c r="N177" s="23" t="n">
        <v>1</v>
      </c>
      <c r="O177" s="23" t="n">
        <v>29</v>
      </c>
      <c r="P177" s="23" t="n">
        <v>99.55</v>
      </c>
      <c r="Q177" s="24" t="n">
        <v>703082435360</v>
      </c>
      <c r="R177" s="23" t="n">
        <v>83.6</v>
      </c>
      <c r="S177" s="23" t="n">
        <v>10.1</v>
      </c>
      <c r="T177" s="23" t="n">
        <v>28.8</v>
      </c>
      <c r="U177" s="23" t="n">
        <v>8574832</v>
      </c>
      <c r="V177" s="33" t="n">
        <f aca="false">YEARFRAC(W177,X177,1)</f>
        <v>82.9760438056126</v>
      </c>
      <c r="W177" s="34" t="n">
        <f aca="false">DATE(M177,N177,O177)</f>
        <v>15735</v>
      </c>
      <c r="X177" s="34" t="n">
        <f aca="true">TODAY()</f>
        <v>46042</v>
      </c>
    </row>
    <row r="178" customFormat="false" ht="15" hidden="false" customHeight="false" outlineLevel="0" collapsed="false">
      <c r="A178" s="23" t="n">
        <v>184</v>
      </c>
      <c r="B178" s="23" t="s">
        <v>187</v>
      </c>
      <c r="C178" s="23" t="s">
        <v>782</v>
      </c>
      <c r="D178" s="23" t="s">
        <v>33</v>
      </c>
      <c r="E178" s="23" t="s">
        <v>783</v>
      </c>
      <c r="F178" s="23" t="s">
        <v>191</v>
      </c>
      <c r="G178" s="23" t="s">
        <v>187</v>
      </c>
      <c r="H178" s="32" t="s">
        <v>36</v>
      </c>
      <c r="I178" s="23" t="s">
        <v>37</v>
      </c>
      <c r="J178" s="23" t="s">
        <v>784</v>
      </c>
      <c r="K178" s="23" t="s">
        <v>785</v>
      </c>
      <c r="L178" s="23" t="n">
        <v>9800</v>
      </c>
      <c r="M178" s="23" t="n">
        <v>1971</v>
      </c>
      <c r="N178" s="23" t="n">
        <v>8</v>
      </c>
      <c r="O178" s="23" t="n">
        <v>10</v>
      </c>
      <c r="P178" s="23" t="n">
        <v>110.05</v>
      </c>
      <c r="Q178" s="24" t="n">
        <v>2715518274227</v>
      </c>
      <c r="R178" s="23" t="n">
        <v>82.5</v>
      </c>
      <c r="S178" s="23" t="n">
        <v>24.2</v>
      </c>
      <c r="T178" s="23" t="n">
        <v>60.7</v>
      </c>
      <c r="U178" s="23" t="n">
        <v>67059887</v>
      </c>
      <c r="V178" s="33" t="n">
        <f aca="false">YEARFRAC(W178,X178,1)</f>
        <v>54.4476386036961</v>
      </c>
      <c r="W178" s="34" t="n">
        <f aca="false">DATE(M178,N178,O178)</f>
        <v>26155</v>
      </c>
      <c r="X178" s="34" t="n">
        <f aca="true">TODAY()</f>
        <v>46042</v>
      </c>
    </row>
    <row r="179" customFormat="false" ht="15" hidden="false" customHeight="false" outlineLevel="0" collapsed="false">
      <c r="A179" s="23" t="n">
        <v>184</v>
      </c>
      <c r="B179" s="23" t="s">
        <v>187</v>
      </c>
      <c r="C179" s="23" t="s">
        <v>786</v>
      </c>
      <c r="D179" s="23" t="s">
        <v>33</v>
      </c>
      <c r="E179" s="23" t="s">
        <v>783</v>
      </c>
      <c r="F179" s="23" t="s">
        <v>191</v>
      </c>
      <c r="G179" s="23" t="s">
        <v>187</v>
      </c>
      <c r="H179" s="32" t="s">
        <v>36</v>
      </c>
      <c r="I179" s="23" t="s">
        <v>37</v>
      </c>
      <c r="J179" s="23" t="s">
        <v>784</v>
      </c>
      <c r="K179" s="23" t="s">
        <v>787</v>
      </c>
      <c r="L179" s="23" t="n">
        <v>9800</v>
      </c>
      <c r="M179" s="23" t="n">
        <v>1970</v>
      </c>
      <c r="N179" s="23" t="n">
        <v>3</v>
      </c>
      <c r="O179" s="23" t="n">
        <v>3</v>
      </c>
      <c r="P179" s="23" t="n">
        <v>110.05</v>
      </c>
      <c r="Q179" s="24" t="n">
        <v>2715518274227</v>
      </c>
      <c r="R179" s="23" t="n">
        <v>82.5</v>
      </c>
      <c r="S179" s="23" t="n">
        <v>24.2</v>
      </c>
      <c r="T179" s="23" t="n">
        <v>60.7</v>
      </c>
      <c r="U179" s="23" t="n">
        <v>67059887</v>
      </c>
      <c r="V179" s="33" t="n">
        <f aca="false">YEARFRAC(W179,X179,1)</f>
        <v>55.885681348768</v>
      </c>
      <c r="W179" s="34" t="n">
        <f aca="false">DATE(M179,N179,O179)</f>
        <v>25630</v>
      </c>
      <c r="X179" s="34" t="n">
        <f aca="true">TODAY()</f>
        <v>46042</v>
      </c>
    </row>
    <row r="180" customFormat="false" ht="15" hidden="false" customHeight="false" outlineLevel="0" collapsed="false">
      <c r="A180" s="23" t="n">
        <v>184</v>
      </c>
      <c r="B180" s="23" t="s">
        <v>187</v>
      </c>
      <c r="C180" s="23" t="s">
        <v>788</v>
      </c>
      <c r="D180" s="23" t="s">
        <v>33</v>
      </c>
      <c r="E180" s="23" t="s">
        <v>783</v>
      </c>
      <c r="F180" s="23" t="s">
        <v>191</v>
      </c>
      <c r="G180" s="23" t="s">
        <v>187</v>
      </c>
      <c r="H180" s="32" t="s">
        <v>36</v>
      </c>
      <c r="I180" s="23" t="s">
        <v>103</v>
      </c>
      <c r="J180" s="23" t="s">
        <v>789</v>
      </c>
      <c r="K180" s="23" t="s">
        <v>790</v>
      </c>
      <c r="L180" s="23" t="n">
        <v>9800</v>
      </c>
      <c r="M180" s="23" t="n">
        <v>1968</v>
      </c>
      <c r="N180" s="23" t="n">
        <v>2</v>
      </c>
      <c r="O180" s="23" t="n">
        <v>1</v>
      </c>
      <c r="P180" s="23" t="n">
        <v>110.05</v>
      </c>
      <c r="Q180" s="24" t="n">
        <v>2715518274227</v>
      </c>
      <c r="R180" s="23" t="n">
        <v>82.5</v>
      </c>
      <c r="S180" s="23" t="n">
        <v>24.2</v>
      </c>
      <c r="T180" s="23" t="n">
        <v>60.7</v>
      </c>
      <c r="U180" s="23" t="n">
        <v>67059887</v>
      </c>
      <c r="V180" s="33" t="n">
        <f aca="false">YEARFRAC(W180,X180,1)</f>
        <v>57.9678422273782</v>
      </c>
      <c r="W180" s="34" t="n">
        <f aca="false">DATE(M180,N180,O180)</f>
        <v>24869</v>
      </c>
      <c r="X180" s="34" t="n">
        <f aca="true">TODAY()</f>
        <v>46042</v>
      </c>
    </row>
    <row r="181" customFormat="false" ht="15" hidden="false" customHeight="false" outlineLevel="0" collapsed="false">
      <c r="A181" s="23" t="n">
        <v>184</v>
      </c>
      <c r="B181" s="23" t="s">
        <v>62</v>
      </c>
      <c r="C181" s="23" t="s">
        <v>791</v>
      </c>
      <c r="D181" s="23" t="s">
        <v>505</v>
      </c>
      <c r="E181" s="23" t="s">
        <v>506</v>
      </c>
      <c r="F181" s="23" t="s">
        <v>278</v>
      </c>
      <c r="G181" s="23" t="s">
        <v>62</v>
      </c>
      <c r="H181" s="32" t="s">
        <v>45</v>
      </c>
      <c r="I181" s="23" t="s">
        <v>37</v>
      </c>
      <c r="J181" s="23" t="s">
        <v>792</v>
      </c>
      <c r="K181" s="23" t="s">
        <v>793</v>
      </c>
      <c r="L181" s="23" t="n">
        <v>9800</v>
      </c>
      <c r="M181" s="23" t="n">
        <v>1947</v>
      </c>
      <c r="N181" s="23" t="n">
        <v>5</v>
      </c>
      <c r="O181" s="23" t="n">
        <v>15</v>
      </c>
      <c r="P181" s="23" t="n">
        <v>110.51</v>
      </c>
      <c r="Q181" s="24" t="n">
        <v>530832908738</v>
      </c>
      <c r="R181" s="23" t="n">
        <v>82.5</v>
      </c>
      <c r="S181" s="23" t="n">
        <v>27.9</v>
      </c>
      <c r="T181" s="23" t="n">
        <v>49.1</v>
      </c>
      <c r="U181" s="23" t="n">
        <v>10285453</v>
      </c>
      <c r="V181" s="33" t="n">
        <f aca="false">YEARFRAC(W181,X181,1)</f>
        <v>78.6858316221766</v>
      </c>
      <c r="W181" s="34" t="n">
        <f aca="false">DATE(M181,N181,O181)</f>
        <v>17302</v>
      </c>
      <c r="X181" s="34" t="n">
        <f aca="true">TODAY()</f>
        <v>46042</v>
      </c>
    </row>
    <row r="182" customFormat="false" ht="15" hidden="false" customHeight="false" outlineLevel="0" collapsed="false">
      <c r="A182" s="23" t="n">
        <v>190</v>
      </c>
      <c r="B182" s="23" t="s">
        <v>264</v>
      </c>
      <c r="C182" s="23" t="s">
        <v>794</v>
      </c>
      <c r="D182" s="23" t="s">
        <v>338</v>
      </c>
      <c r="E182" s="23" t="s">
        <v>339</v>
      </c>
      <c r="F182" s="23" t="s">
        <v>795</v>
      </c>
      <c r="G182" s="23" t="s">
        <v>264</v>
      </c>
      <c r="H182" s="32" t="s">
        <v>45</v>
      </c>
      <c r="I182" s="23" t="s">
        <v>37</v>
      </c>
      <c r="J182" s="23" t="s">
        <v>796</v>
      </c>
      <c r="K182" s="23" t="s">
        <v>797</v>
      </c>
      <c r="L182" s="23" t="n">
        <v>9700</v>
      </c>
      <c r="M182" s="23" t="n">
        <v>1960</v>
      </c>
      <c r="N182" s="23" t="n">
        <v>3</v>
      </c>
      <c r="O182" s="23" t="n">
        <v>24</v>
      </c>
      <c r="P182" s="23" t="n">
        <v>180.75</v>
      </c>
      <c r="Q182" s="24" t="n">
        <v>1699876578871</v>
      </c>
      <c r="R182" s="23" t="n">
        <v>72.7</v>
      </c>
      <c r="S182" s="23" t="n">
        <v>11.4</v>
      </c>
      <c r="T182" s="23" t="n">
        <v>46.2</v>
      </c>
      <c r="U182" s="23" t="n">
        <v>144373535</v>
      </c>
      <c r="V182" s="33" t="n">
        <f aca="false">YEARFRAC(W182,X182,1)</f>
        <v>65.8254740111148</v>
      </c>
      <c r="W182" s="34" t="n">
        <f aca="false">DATE(M182,N182,O182)</f>
        <v>21999</v>
      </c>
      <c r="X182" s="34" t="n">
        <f aca="true">TODAY()</f>
        <v>46042</v>
      </c>
    </row>
    <row r="183" customFormat="false" ht="15" hidden="false" customHeight="false" outlineLevel="0" collapsed="false">
      <c r="A183" s="23" t="n">
        <v>190</v>
      </c>
      <c r="B183" s="23" t="s">
        <v>62</v>
      </c>
      <c r="C183" s="23" t="s">
        <v>798</v>
      </c>
      <c r="D183" s="23" t="s">
        <v>799</v>
      </c>
      <c r="E183" s="23" t="s">
        <v>800</v>
      </c>
      <c r="F183" s="23" t="s">
        <v>801</v>
      </c>
      <c r="G183" s="23" t="s">
        <v>62</v>
      </c>
      <c r="H183" s="32" t="s">
        <v>45</v>
      </c>
      <c r="I183" s="23" t="s">
        <v>37</v>
      </c>
      <c r="J183" s="23" t="s">
        <v>802</v>
      </c>
      <c r="K183" s="23" t="s">
        <v>80</v>
      </c>
      <c r="L183" s="23" t="n">
        <v>9700</v>
      </c>
      <c r="M183" s="23" t="n">
        <v>1963</v>
      </c>
      <c r="N183" s="23" t="n">
        <v>10</v>
      </c>
      <c r="O183" s="23" t="n">
        <v>1</v>
      </c>
      <c r="P183" s="23" t="n">
        <v>115.16</v>
      </c>
      <c r="Q183" s="24" t="n">
        <v>2029000000000</v>
      </c>
      <c r="R183" s="23" t="n">
        <v>82.6</v>
      </c>
      <c r="S183" s="23" t="n">
        <v>15.6</v>
      </c>
      <c r="T183" s="23" t="n">
        <v>33.2</v>
      </c>
      <c r="U183" s="23" t="n">
        <v>51709098</v>
      </c>
      <c r="V183" s="33" t="n">
        <f aca="false">YEARFRAC(W183,X183,1)</f>
        <v>62.3052703627652</v>
      </c>
      <c r="W183" s="34" t="n">
        <f aca="false">DATE(M183,N183,O183)</f>
        <v>23285</v>
      </c>
      <c r="X183" s="34" t="n">
        <f aca="true">TODAY()</f>
        <v>46042</v>
      </c>
    </row>
    <row r="184" customFormat="false" ht="15" hidden="false" customHeight="false" outlineLevel="0" collapsed="false">
      <c r="A184" s="23" t="n">
        <v>190</v>
      </c>
      <c r="B184" s="23" t="s">
        <v>49</v>
      </c>
      <c r="C184" s="23" t="s">
        <v>803</v>
      </c>
      <c r="D184" s="23" t="s">
        <v>126</v>
      </c>
      <c r="E184" s="23" t="s">
        <v>173</v>
      </c>
      <c r="F184" s="23" t="s">
        <v>804</v>
      </c>
      <c r="G184" s="23" t="s">
        <v>49</v>
      </c>
      <c r="H184" s="32" t="s">
        <v>45</v>
      </c>
      <c r="I184" s="23" t="s">
        <v>37</v>
      </c>
      <c r="J184" s="23" t="s">
        <v>805</v>
      </c>
      <c r="K184" s="23" t="s">
        <v>806</v>
      </c>
      <c r="L184" s="23" t="n">
        <v>9700</v>
      </c>
      <c r="M184" s="23" t="n">
        <v>1969</v>
      </c>
      <c r="N184" s="23" t="n">
        <v>12</v>
      </c>
      <c r="O184" s="23" t="n">
        <v>16</v>
      </c>
      <c r="P184" s="23" t="n">
        <v>125.08</v>
      </c>
      <c r="Q184" s="24" t="n">
        <v>19910000000000</v>
      </c>
      <c r="R184" s="23" t="n">
        <v>77</v>
      </c>
      <c r="S184" s="23" t="n">
        <v>9.4</v>
      </c>
      <c r="T184" s="23" t="n">
        <v>59.2</v>
      </c>
      <c r="U184" s="23" t="n">
        <v>1397715000</v>
      </c>
      <c r="V184" s="33" t="n">
        <f aca="false">YEARFRAC(W184,X184,1)</f>
        <v>56.0971487915408</v>
      </c>
      <c r="W184" s="34" t="n">
        <f aca="false">DATE(M184,N184,O184)</f>
        <v>25553</v>
      </c>
      <c r="X184" s="34" t="n">
        <f aca="true">TODAY()</f>
        <v>46042</v>
      </c>
    </row>
    <row r="185" customFormat="false" ht="15" hidden="false" customHeight="false" outlineLevel="0" collapsed="false">
      <c r="A185" s="23" t="n">
        <v>190</v>
      </c>
      <c r="B185" s="23" t="s">
        <v>264</v>
      </c>
      <c r="C185" s="23" t="s">
        <v>807</v>
      </c>
      <c r="D185" s="23" t="s">
        <v>178</v>
      </c>
      <c r="E185" s="23" t="s">
        <v>808</v>
      </c>
      <c r="F185" s="23" t="s">
        <v>264</v>
      </c>
      <c r="G185" s="23" t="s">
        <v>264</v>
      </c>
      <c r="H185" s="32" t="s">
        <v>36</v>
      </c>
      <c r="I185" s="23" t="s">
        <v>37</v>
      </c>
      <c r="J185" s="23" t="s">
        <v>809</v>
      </c>
      <c r="K185" s="23" t="s">
        <v>810</v>
      </c>
      <c r="L185" s="23" t="n">
        <v>9700</v>
      </c>
      <c r="M185" s="23" t="n">
        <v>1946</v>
      </c>
      <c r="N185" s="23" t="n">
        <v>8</v>
      </c>
      <c r="O185" s="23" t="n">
        <v>15</v>
      </c>
      <c r="P185" s="23" t="n">
        <v>112.85</v>
      </c>
      <c r="Q185" s="24" t="n">
        <v>3845630030824</v>
      </c>
      <c r="R185" s="23" t="n">
        <v>80.9</v>
      </c>
      <c r="S185" s="23" t="n">
        <v>11.5</v>
      </c>
      <c r="T185" s="23" t="n">
        <v>48.8</v>
      </c>
      <c r="U185" s="23" t="n">
        <v>83132799</v>
      </c>
      <c r="V185" s="33" t="n">
        <f aca="false">YEARFRAC(W185,X185,1)</f>
        <v>79.4339361162751</v>
      </c>
      <c r="W185" s="34" t="n">
        <f aca="false">DATE(M185,N185,O185)</f>
        <v>17029</v>
      </c>
      <c r="X185" s="34" t="n">
        <f aca="true">TODAY()</f>
        <v>46042</v>
      </c>
    </row>
    <row r="186" customFormat="false" ht="15" hidden="false" customHeight="false" outlineLevel="0" collapsed="false">
      <c r="A186" s="23" t="n">
        <v>190</v>
      </c>
      <c r="B186" s="23" t="s">
        <v>360</v>
      </c>
      <c r="C186" s="23" t="s">
        <v>811</v>
      </c>
      <c r="D186" s="23" t="s">
        <v>126</v>
      </c>
      <c r="E186" s="23" t="s">
        <v>812</v>
      </c>
      <c r="F186" s="23" t="s">
        <v>524</v>
      </c>
      <c r="G186" s="23" t="s">
        <v>360</v>
      </c>
      <c r="H186" s="32" t="s">
        <v>45</v>
      </c>
      <c r="I186" s="23" t="s">
        <v>37</v>
      </c>
      <c r="J186" s="23" t="s">
        <v>813</v>
      </c>
      <c r="K186" s="23" t="s">
        <v>814</v>
      </c>
      <c r="L186" s="23" t="n">
        <v>9700</v>
      </c>
      <c r="M186" s="23" t="n">
        <v>1958</v>
      </c>
      <c r="N186" s="23" t="n">
        <v>9</v>
      </c>
      <c r="O186" s="23" t="n">
        <v>1</v>
      </c>
      <c r="P186" s="23" t="n">
        <v>125.08</v>
      </c>
      <c r="Q186" s="24" t="n">
        <v>19910000000000</v>
      </c>
      <c r="R186" s="23" t="n">
        <v>77</v>
      </c>
      <c r="S186" s="23" t="n">
        <v>9.4</v>
      </c>
      <c r="T186" s="23" t="n">
        <v>59.2</v>
      </c>
      <c r="U186" s="23" t="n">
        <v>1397715000</v>
      </c>
      <c r="V186" s="33" t="n">
        <f aca="false">YEARFRAC(W186,X186,1)</f>
        <v>67.3873898896913</v>
      </c>
      <c r="W186" s="34" t="n">
        <f aca="false">DATE(M186,N186,O186)</f>
        <v>21429</v>
      </c>
      <c r="X186" s="34" t="n">
        <f aca="true">TODAY()</f>
        <v>46042</v>
      </c>
    </row>
    <row r="187" customFormat="false" ht="15" hidden="false" customHeight="false" outlineLevel="0" collapsed="false">
      <c r="A187" s="23" t="n">
        <v>190</v>
      </c>
      <c r="B187" s="23" t="s">
        <v>360</v>
      </c>
      <c r="C187" s="23" t="s">
        <v>811</v>
      </c>
      <c r="D187" s="23" t="s">
        <v>126</v>
      </c>
      <c r="E187" s="23" t="s">
        <v>812</v>
      </c>
      <c r="F187" s="23" t="s">
        <v>524</v>
      </c>
      <c r="G187" s="23" t="s">
        <v>360</v>
      </c>
      <c r="H187" s="32" t="s">
        <v>45</v>
      </c>
      <c r="I187" s="23" t="s">
        <v>37</v>
      </c>
      <c r="J187" s="23" t="s">
        <v>813</v>
      </c>
      <c r="K187" s="23" t="s">
        <v>814</v>
      </c>
      <c r="L187" s="23" t="n">
        <v>9700</v>
      </c>
      <c r="M187" s="23" t="n">
        <v>1958</v>
      </c>
      <c r="N187" s="23" t="n">
        <v>9</v>
      </c>
      <c r="O187" s="23" t="n">
        <v>1</v>
      </c>
      <c r="P187" s="23" t="n">
        <v>125.08</v>
      </c>
      <c r="Q187" s="24" t="n">
        <v>19910000000000</v>
      </c>
      <c r="R187" s="23" t="n">
        <v>77</v>
      </c>
      <c r="S187" s="23" t="n">
        <v>9.4</v>
      </c>
      <c r="T187" s="23" t="n">
        <v>59.2</v>
      </c>
      <c r="U187" s="23" t="n">
        <v>1397715000</v>
      </c>
      <c r="V187" s="33" t="n">
        <f aca="false">YEARFRAC(W187,X187,1)</f>
        <v>67.3873898896913</v>
      </c>
      <c r="W187" s="34" t="n">
        <f aca="false">DATE(M187,N187,O187)</f>
        <v>21429</v>
      </c>
      <c r="X187" s="34" t="n">
        <f aca="true">TODAY()</f>
        <v>46042</v>
      </c>
    </row>
    <row r="188" customFormat="false" ht="15" hidden="false" customHeight="false" outlineLevel="0" collapsed="false">
      <c r="A188" s="23" t="n">
        <v>190</v>
      </c>
      <c r="B188" s="23" t="s">
        <v>360</v>
      </c>
      <c r="C188" s="23" t="s">
        <v>811</v>
      </c>
      <c r="D188" s="23" t="s">
        <v>126</v>
      </c>
      <c r="E188" s="23" t="s">
        <v>812</v>
      </c>
      <c r="F188" s="23" t="s">
        <v>524</v>
      </c>
      <c r="G188" s="23" t="s">
        <v>360</v>
      </c>
      <c r="H188" s="32" t="s">
        <v>45</v>
      </c>
      <c r="I188" s="23" t="s">
        <v>37</v>
      </c>
      <c r="J188" s="23" t="s">
        <v>813</v>
      </c>
      <c r="K188" s="23" t="s">
        <v>814</v>
      </c>
      <c r="L188" s="23" t="n">
        <v>9700</v>
      </c>
      <c r="M188" s="23" t="n">
        <v>1958</v>
      </c>
      <c r="N188" s="23" t="n">
        <v>9</v>
      </c>
      <c r="O188" s="23" t="n">
        <v>1</v>
      </c>
      <c r="P188" s="23" t="n">
        <v>125.08</v>
      </c>
      <c r="Q188" s="24" t="n">
        <v>19910000000000</v>
      </c>
      <c r="R188" s="23" t="n">
        <v>77</v>
      </c>
      <c r="S188" s="23" t="n">
        <v>9.4</v>
      </c>
      <c r="T188" s="23" t="n">
        <v>59.2</v>
      </c>
      <c r="U188" s="23" t="n">
        <v>1397715000</v>
      </c>
      <c r="V188" s="33" t="n">
        <f aca="false">YEARFRAC(W188,X188,1)</f>
        <v>67.3873898896913</v>
      </c>
      <c r="W188" s="34" t="n">
        <f aca="false">DATE(M188,N188,O188)</f>
        <v>21429</v>
      </c>
      <c r="X188" s="34" t="n">
        <f aca="true">TODAY()</f>
        <v>46042</v>
      </c>
    </row>
    <row r="189" customFormat="false" ht="15" hidden="false" customHeight="false" outlineLevel="0" collapsed="false">
      <c r="A189" s="23" t="n">
        <v>195</v>
      </c>
      <c r="B189" s="23" t="s">
        <v>49</v>
      </c>
      <c r="C189" s="23" t="s">
        <v>815</v>
      </c>
      <c r="D189" s="23" t="s">
        <v>42</v>
      </c>
      <c r="E189" s="23" t="s">
        <v>816</v>
      </c>
      <c r="F189" s="23" t="s">
        <v>817</v>
      </c>
      <c r="G189" s="23" t="s">
        <v>49</v>
      </c>
      <c r="H189" s="32" t="s">
        <v>36</v>
      </c>
      <c r="I189" s="23" t="s">
        <v>37</v>
      </c>
      <c r="J189" s="23" t="s">
        <v>462</v>
      </c>
      <c r="K189" s="23" t="s">
        <v>818</v>
      </c>
      <c r="L189" s="23" t="n">
        <v>9600</v>
      </c>
      <c r="M189" s="23" t="n">
        <v>1952</v>
      </c>
      <c r="N189" s="23" t="n">
        <v>7</v>
      </c>
      <c r="O189" s="23" t="n">
        <v>25</v>
      </c>
      <c r="P189" s="23" t="n">
        <v>117.24</v>
      </c>
      <c r="Q189" s="24" t="n">
        <v>21427700000000</v>
      </c>
      <c r="R189" s="23" t="n">
        <v>78.5</v>
      </c>
      <c r="S189" s="23" t="n">
        <v>9.6</v>
      </c>
      <c r="T189" s="23" t="n">
        <v>36.6</v>
      </c>
      <c r="U189" s="23" t="n">
        <v>328239523</v>
      </c>
      <c r="V189" s="33" t="n">
        <f aca="false">YEARFRAC(W189,X189,1)</f>
        <v>73.4887201576988</v>
      </c>
      <c r="W189" s="34" t="n">
        <f aca="false">DATE(M189,N189,O189)</f>
        <v>19200</v>
      </c>
      <c r="X189" s="34" t="n">
        <f aca="true">TODAY()</f>
        <v>46042</v>
      </c>
    </row>
    <row r="190" customFormat="false" ht="15" hidden="false" customHeight="false" outlineLevel="0" collapsed="false">
      <c r="A190" s="23" t="n">
        <v>195</v>
      </c>
      <c r="B190" s="23" t="s">
        <v>305</v>
      </c>
      <c r="C190" s="23" t="s">
        <v>819</v>
      </c>
      <c r="D190" s="23" t="s">
        <v>126</v>
      </c>
      <c r="E190" s="23" t="s">
        <v>820</v>
      </c>
      <c r="F190" s="23" t="s">
        <v>821</v>
      </c>
      <c r="G190" s="23" t="s">
        <v>305</v>
      </c>
      <c r="H190" s="32" t="s">
        <v>45</v>
      </c>
      <c r="I190" s="23" t="s">
        <v>37</v>
      </c>
      <c r="J190" s="23" t="s">
        <v>822</v>
      </c>
      <c r="K190" s="23" t="s">
        <v>823</v>
      </c>
      <c r="L190" s="23" t="n">
        <v>9600</v>
      </c>
      <c r="M190" s="23" t="n">
        <v>1952</v>
      </c>
      <c r="N190" s="23" t="n">
        <v>9</v>
      </c>
      <c r="O190" s="23" t="n">
        <v>1</v>
      </c>
      <c r="P190" s="23" t="n">
        <v>125.08</v>
      </c>
      <c r="Q190" s="24" t="n">
        <v>19910000000000</v>
      </c>
      <c r="R190" s="23" t="n">
        <v>77</v>
      </c>
      <c r="S190" s="23" t="n">
        <v>9.4</v>
      </c>
      <c r="T190" s="23" t="n">
        <v>59.2</v>
      </c>
      <c r="U190" s="23" t="n">
        <v>1397715000</v>
      </c>
      <c r="V190" s="33" t="n">
        <f aca="false">YEARFRAC(W190,X190,1)</f>
        <v>73.3846827772505</v>
      </c>
      <c r="W190" s="34" t="n">
        <f aca="false">DATE(M190,N190,O190)</f>
        <v>19238</v>
      </c>
      <c r="X190" s="34" t="n">
        <f aca="true">TODAY()</f>
        <v>46042</v>
      </c>
    </row>
    <row r="191" customFormat="false" ht="15" hidden="false" customHeight="false" outlineLevel="0" collapsed="false">
      <c r="A191" s="23" t="n">
        <v>195</v>
      </c>
      <c r="B191" s="23" t="s">
        <v>264</v>
      </c>
      <c r="C191" s="23" t="s">
        <v>824</v>
      </c>
      <c r="D191" s="23" t="s">
        <v>126</v>
      </c>
      <c r="E191" s="23" t="s">
        <v>825</v>
      </c>
      <c r="F191" s="23" t="s">
        <v>357</v>
      </c>
      <c r="G191" s="23" t="s">
        <v>264</v>
      </c>
      <c r="H191" s="32" t="s">
        <v>45</v>
      </c>
      <c r="I191" s="23" t="s">
        <v>37</v>
      </c>
      <c r="J191" s="23" t="s">
        <v>826</v>
      </c>
      <c r="K191" s="23" t="s">
        <v>827</v>
      </c>
      <c r="L191" s="23" t="n">
        <v>9600</v>
      </c>
      <c r="M191" s="23" t="n">
        <v>1956</v>
      </c>
      <c r="N191" s="23" t="n">
        <v>3</v>
      </c>
      <c r="O191" s="23" t="n">
        <v>1</v>
      </c>
      <c r="P191" s="23" t="n">
        <v>125.08</v>
      </c>
      <c r="Q191" s="24" t="n">
        <v>19910000000000</v>
      </c>
      <c r="R191" s="23" t="n">
        <v>77</v>
      </c>
      <c r="S191" s="23" t="n">
        <v>9.4</v>
      </c>
      <c r="T191" s="23" t="n">
        <v>59.2</v>
      </c>
      <c r="U191" s="23" t="n">
        <v>1397715000</v>
      </c>
      <c r="V191" s="33" t="n">
        <f aca="false">YEARFRAC(W191,X191,1)</f>
        <v>69.8884432961863</v>
      </c>
      <c r="W191" s="34" t="n">
        <f aca="false">DATE(M191,N191,O191)</f>
        <v>20515</v>
      </c>
      <c r="X191" s="34" t="n">
        <f aca="true">TODAY()</f>
        <v>46042</v>
      </c>
    </row>
    <row r="192" customFormat="false" ht="15" hidden="false" customHeight="false" outlineLevel="0" collapsed="false">
      <c r="A192" s="23" t="n">
        <v>195</v>
      </c>
      <c r="B192" s="23" t="s">
        <v>124</v>
      </c>
      <c r="C192" s="23" t="s">
        <v>828</v>
      </c>
      <c r="D192" s="23" t="s">
        <v>42</v>
      </c>
      <c r="E192" s="23" t="s">
        <v>829</v>
      </c>
      <c r="F192" s="23" t="s">
        <v>202</v>
      </c>
      <c r="G192" s="23" t="s">
        <v>124</v>
      </c>
      <c r="H192" s="32" t="s">
        <v>36</v>
      </c>
      <c r="I192" s="23" t="s">
        <v>103</v>
      </c>
      <c r="J192" s="23" t="s">
        <v>203</v>
      </c>
      <c r="K192" s="23" t="s">
        <v>830</v>
      </c>
      <c r="L192" s="23" t="n">
        <v>9600</v>
      </c>
      <c r="M192" s="23" t="n">
        <v>1964</v>
      </c>
      <c r="N192" s="23" t="n">
        <v>7</v>
      </c>
      <c r="O192" s="23" t="n">
        <v>28</v>
      </c>
      <c r="P192" s="23" t="n">
        <v>117.24</v>
      </c>
      <c r="Q192" s="24" t="n">
        <v>21427700000000</v>
      </c>
      <c r="R192" s="23" t="n">
        <v>78.5</v>
      </c>
      <c r="S192" s="23" t="n">
        <v>9.6</v>
      </c>
      <c r="T192" s="23" t="n">
        <v>36.6</v>
      </c>
      <c r="U192" s="23" t="n">
        <v>328239523</v>
      </c>
      <c r="V192" s="33" t="n">
        <f aca="false">YEARFRAC(W192,X192,1)</f>
        <v>61.4805093216288</v>
      </c>
      <c r="W192" s="34" t="n">
        <f aca="false">DATE(M192,N192,O192)</f>
        <v>23586</v>
      </c>
      <c r="X192" s="34" t="n">
        <f aca="true">TODAY()</f>
        <v>46042</v>
      </c>
    </row>
    <row r="193" customFormat="false" ht="15" hidden="false" customHeight="false" outlineLevel="0" collapsed="false">
      <c r="A193" s="23" t="n">
        <v>195</v>
      </c>
      <c r="B193" s="23" t="s">
        <v>124</v>
      </c>
      <c r="C193" s="23" t="s">
        <v>831</v>
      </c>
      <c r="D193" s="23" t="s">
        <v>42</v>
      </c>
      <c r="E193" s="23" t="s">
        <v>832</v>
      </c>
      <c r="F193" s="23" t="s">
        <v>202</v>
      </c>
      <c r="G193" s="23" t="s">
        <v>124</v>
      </c>
      <c r="H193" s="32" t="s">
        <v>36</v>
      </c>
      <c r="I193" s="23" t="s">
        <v>103</v>
      </c>
      <c r="J193" s="23" t="s">
        <v>203</v>
      </c>
      <c r="K193" s="23" t="s">
        <v>833</v>
      </c>
      <c r="L193" s="23" t="n">
        <v>9600</v>
      </c>
      <c r="M193" s="23" t="n">
        <v>1960</v>
      </c>
      <c r="N193" s="23" t="n">
        <v>8</v>
      </c>
      <c r="O193" s="23" t="n">
        <v>1</v>
      </c>
      <c r="P193" s="23" t="n">
        <v>117.24</v>
      </c>
      <c r="Q193" s="24" t="n">
        <v>21427700000000</v>
      </c>
      <c r="R193" s="23" t="n">
        <v>78.5</v>
      </c>
      <c r="S193" s="23" t="n">
        <v>9.6</v>
      </c>
      <c r="T193" s="23" t="n">
        <v>36.6</v>
      </c>
      <c r="U193" s="23" t="n">
        <v>328239523</v>
      </c>
      <c r="V193" s="33" t="n">
        <f aca="false">YEARFRAC(W193,X193,1)</f>
        <v>65.4695570447859</v>
      </c>
      <c r="W193" s="34" t="n">
        <f aca="false">DATE(M193,N193,O193)</f>
        <v>22129</v>
      </c>
      <c r="X193" s="34" t="n">
        <f aca="true">TODAY()</f>
        <v>46042</v>
      </c>
    </row>
    <row r="194" customFormat="false" ht="15" hidden="false" customHeight="false" outlineLevel="0" collapsed="false">
      <c r="A194" s="23" t="n">
        <v>195</v>
      </c>
      <c r="B194" s="23" t="s">
        <v>124</v>
      </c>
      <c r="C194" s="23" t="s">
        <v>834</v>
      </c>
      <c r="D194" s="23" t="s">
        <v>42</v>
      </c>
      <c r="E194" s="23" t="s">
        <v>77</v>
      </c>
      <c r="F194" s="23" t="s">
        <v>202</v>
      </c>
      <c r="G194" s="23" t="s">
        <v>124</v>
      </c>
      <c r="H194" s="32" t="s">
        <v>36</v>
      </c>
      <c r="I194" s="23" t="s">
        <v>103</v>
      </c>
      <c r="J194" s="23" t="s">
        <v>203</v>
      </c>
      <c r="K194" s="23" t="s">
        <v>835</v>
      </c>
      <c r="L194" s="23" t="n">
        <v>9600</v>
      </c>
      <c r="M194" s="23" t="n">
        <v>1959</v>
      </c>
      <c r="N194" s="23" t="n">
        <v>1</v>
      </c>
      <c r="O194" s="23" t="n">
        <v>26</v>
      </c>
      <c r="P194" s="23" t="n">
        <v>117.24</v>
      </c>
      <c r="Q194" s="24" t="n">
        <v>21427700000000</v>
      </c>
      <c r="R194" s="23" t="n">
        <v>78.5</v>
      </c>
      <c r="S194" s="23" t="n">
        <v>9.6</v>
      </c>
      <c r="T194" s="23" t="n">
        <v>36.6</v>
      </c>
      <c r="U194" s="23" t="n">
        <v>328239523</v>
      </c>
      <c r="V194" s="33" t="n">
        <f aca="false">YEARFRAC(W194,X194,1)</f>
        <v>66.984257357974</v>
      </c>
      <c r="W194" s="34" t="n">
        <f aca="false">DATE(M194,N194,O194)</f>
        <v>21576</v>
      </c>
      <c r="X194" s="34" t="n">
        <f aca="true">TODAY()</f>
        <v>46042</v>
      </c>
    </row>
    <row r="195" customFormat="false" ht="15" hidden="false" customHeight="false" outlineLevel="0" collapsed="false">
      <c r="A195" s="23" t="n">
        <v>195</v>
      </c>
      <c r="B195" s="23" t="s">
        <v>124</v>
      </c>
      <c r="C195" s="23" t="s">
        <v>836</v>
      </c>
      <c r="D195" s="23" t="s">
        <v>42</v>
      </c>
      <c r="E195" s="23" t="s">
        <v>837</v>
      </c>
      <c r="F195" s="23" t="s">
        <v>202</v>
      </c>
      <c r="G195" s="23" t="s">
        <v>124</v>
      </c>
      <c r="H195" s="32" t="s">
        <v>36</v>
      </c>
      <c r="I195" s="23" t="s">
        <v>103</v>
      </c>
      <c r="J195" s="23" t="s">
        <v>203</v>
      </c>
      <c r="K195" s="23" t="s">
        <v>838</v>
      </c>
      <c r="L195" s="23" t="n">
        <v>9600</v>
      </c>
      <c r="M195" s="23" t="n">
        <v>1956</v>
      </c>
      <c r="N195" s="23" t="n">
        <v>12</v>
      </c>
      <c r="O195" s="23" t="n">
        <v>15</v>
      </c>
      <c r="P195" s="23" t="n">
        <v>117.24</v>
      </c>
      <c r="Q195" s="24" t="n">
        <v>21427700000000</v>
      </c>
      <c r="R195" s="23" t="n">
        <v>78.5</v>
      </c>
      <c r="S195" s="23" t="n">
        <v>9.6</v>
      </c>
      <c r="T195" s="23" t="n">
        <v>36.6</v>
      </c>
      <c r="U195" s="23" t="n">
        <v>328239523</v>
      </c>
      <c r="V195" s="33" t="n">
        <f aca="false">YEARFRAC(W195,X195,1)</f>
        <v>69.0972120464273</v>
      </c>
      <c r="W195" s="34" t="n">
        <f aca="false">DATE(M195,N195,O195)</f>
        <v>20804</v>
      </c>
      <c r="X195" s="34" t="n">
        <f aca="true">TODAY()</f>
        <v>46042</v>
      </c>
    </row>
    <row r="196" customFormat="false" ht="15" hidden="false" customHeight="false" outlineLevel="0" collapsed="false">
      <c r="A196" s="23" t="n">
        <v>202</v>
      </c>
      <c r="B196" s="23" t="s">
        <v>62</v>
      </c>
      <c r="C196" s="23" t="s">
        <v>839</v>
      </c>
      <c r="D196" s="23" t="s">
        <v>33</v>
      </c>
      <c r="E196" s="23" t="s">
        <v>34</v>
      </c>
      <c r="F196" s="23" t="s">
        <v>278</v>
      </c>
      <c r="G196" s="23" t="s">
        <v>62</v>
      </c>
      <c r="H196" s="32" t="s">
        <v>36</v>
      </c>
      <c r="I196" s="23" t="s">
        <v>37</v>
      </c>
      <c r="J196" s="23" t="s">
        <v>840</v>
      </c>
      <c r="K196" s="23" t="s">
        <v>841</v>
      </c>
      <c r="L196" s="23" t="n">
        <v>9500</v>
      </c>
      <c r="M196" s="23" t="n">
        <v>1952</v>
      </c>
      <c r="N196" s="23" t="n">
        <v>4</v>
      </c>
      <c r="O196" s="23" t="n">
        <v>1</v>
      </c>
      <c r="P196" s="23" t="n">
        <v>110.05</v>
      </c>
      <c r="Q196" s="24" t="n">
        <v>2715518274227</v>
      </c>
      <c r="R196" s="23" t="n">
        <v>82.5</v>
      </c>
      <c r="S196" s="23" t="n">
        <v>24.2</v>
      </c>
      <c r="T196" s="23" t="n">
        <v>60.7</v>
      </c>
      <c r="U196" s="23" t="n">
        <v>67059887</v>
      </c>
      <c r="V196" s="33" t="n">
        <f aca="false">YEARFRAC(W196,X196,1)</f>
        <v>73.8035701248449</v>
      </c>
      <c r="W196" s="34" t="n">
        <f aca="false">DATE(M196,N196,O196)</f>
        <v>19085</v>
      </c>
      <c r="X196" s="34" t="n">
        <f aca="true">TODAY()</f>
        <v>46042</v>
      </c>
    </row>
    <row r="197" customFormat="false" ht="15" hidden="false" customHeight="false" outlineLevel="0" collapsed="false">
      <c r="A197" s="23" t="n">
        <v>202</v>
      </c>
      <c r="B197" s="23" t="s">
        <v>89</v>
      </c>
      <c r="C197" s="23" t="s">
        <v>842</v>
      </c>
      <c r="D197" s="23" t="s">
        <v>154</v>
      </c>
      <c r="E197" s="23" t="s">
        <v>843</v>
      </c>
      <c r="F197" s="23" t="s">
        <v>89</v>
      </c>
      <c r="G197" s="23" t="s">
        <v>89</v>
      </c>
      <c r="H197" s="32" t="s">
        <v>45</v>
      </c>
      <c r="I197" s="23" t="s">
        <v>37</v>
      </c>
      <c r="J197" s="23" t="s">
        <v>844</v>
      </c>
      <c r="K197" s="23" t="s">
        <v>147</v>
      </c>
      <c r="L197" s="23" t="n">
        <v>9500</v>
      </c>
      <c r="M197" s="23" t="n">
        <v>1928</v>
      </c>
      <c r="N197" s="23" t="n">
        <v>10</v>
      </c>
      <c r="O197" s="23" t="n">
        <v>1</v>
      </c>
      <c r="P197" s="23" t="n">
        <v>116.76</v>
      </c>
      <c r="Q197" s="24" t="n">
        <v>1736425629520</v>
      </c>
      <c r="R197" s="23" t="n">
        <v>81.9</v>
      </c>
      <c r="S197" s="23" t="n">
        <v>12.8</v>
      </c>
      <c r="T197" s="23" t="n">
        <v>24.5</v>
      </c>
      <c r="U197" s="23" t="n">
        <v>36991981</v>
      </c>
      <c r="V197" s="33" t="n">
        <f aca="false">YEARFRAC(W197,X197,1)</f>
        <v>97.3025442477876</v>
      </c>
      <c r="W197" s="34" t="n">
        <f aca="false">DATE(M197,N197,O197)</f>
        <v>10502</v>
      </c>
      <c r="X197" s="34" t="n">
        <f aca="true">TODAY()</f>
        <v>46042</v>
      </c>
    </row>
    <row r="198" customFormat="false" ht="15" hidden="false" customHeight="false" outlineLevel="0" collapsed="false">
      <c r="A198" s="23" t="n">
        <v>204</v>
      </c>
      <c r="B198" s="23" t="s">
        <v>360</v>
      </c>
      <c r="C198" s="23" t="s">
        <v>845</v>
      </c>
      <c r="D198" s="23" t="s">
        <v>189</v>
      </c>
      <c r="E198" s="23" t="s">
        <v>846</v>
      </c>
      <c r="F198" s="23" t="s">
        <v>847</v>
      </c>
      <c r="G198" s="23" t="s">
        <v>360</v>
      </c>
      <c r="H198" s="32" t="s">
        <v>36</v>
      </c>
      <c r="I198" s="23" t="s">
        <v>37</v>
      </c>
      <c r="J198" s="23" t="s">
        <v>848</v>
      </c>
      <c r="K198" s="23" t="s">
        <v>849</v>
      </c>
      <c r="L198" s="23" t="n">
        <v>9400</v>
      </c>
      <c r="M198" s="23" t="n">
        <v>1965</v>
      </c>
      <c r="N198" s="23" t="n">
        <v>9</v>
      </c>
      <c r="O198" s="23" t="n">
        <v>22</v>
      </c>
      <c r="P198" s="23" t="n">
        <v>99.55</v>
      </c>
      <c r="Q198" s="24" t="n">
        <v>703082435360</v>
      </c>
      <c r="R198" s="23" t="n">
        <v>83.6</v>
      </c>
      <c r="S198" s="23" t="n">
        <v>10.1</v>
      </c>
      <c r="T198" s="23" t="n">
        <v>28.8</v>
      </c>
      <c r="U198" s="23" t="n">
        <v>8574832</v>
      </c>
      <c r="V198" s="33" t="n">
        <f aca="false">YEARFRAC(W198,X198,1)</f>
        <v>60.3298741444027</v>
      </c>
      <c r="W198" s="34" t="n">
        <f aca="false">DATE(M198,N198,O198)</f>
        <v>24007</v>
      </c>
      <c r="X198" s="34" t="n">
        <f aca="true">TODAY()</f>
        <v>46042</v>
      </c>
    </row>
    <row r="199" customFormat="false" ht="15" hidden="false" customHeight="false" outlineLevel="0" collapsed="false">
      <c r="A199" s="23" t="n">
        <v>204</v>
      </c>
      <c r="B199" s="23" t="s">
        <v>49</v>
      </c>
      <c r="C199" s="23" t="s">
        <v>850</v>
      </c>
      <c r="D199" s="23" t="s">
        <v>126</v>
      </c>
      <c r="E199" s="23" t="s">
        <v>173</v>
      </c>
      <c r="F199" s="23" t="s">
        <v>851</v>
      </c>
      <c r="G199" s="23" t="s">
        <v>49</v>
      </c>
      <c r="H199" s="32" t="s">
        <v>45</v>
      </c>
      <c r="I199" s="23" t="s">
        <v>37</v>
      </c>
      <c r="J199" s="23" t="s">
        <v>393</v>
      </c>
      <c r="K199" s="23" t="s">
        <v>852</v>
      </c>
      <c r="L199" s="23" t="n">
        <v>9400</v>
      </c>
      <c r="M199" s="23" t="n">
        <v>1979</v>
      </c>
      <c r="N199" s="23" t="n">
        <v>2</v>
      </c>
      <c r="O199" s="23" t="n">
        <v>18</v>
      </c>
      <c r="P199" s="23" t="n">
        <v>125.08</v>
      </c>
      <c r="Q199" s="24" t="n">
        <v>19910000000000</v>
      </c>
      <c r="R199" s="23" t="n">
        <v>77</v>
      </c>
      <c r="S199" s="23" t="n">
        <v>9.4</v>
      </c>
      <c r="T199" s="23" t="n">
        <v>59.2</v>
      </c>
      <c r="U199" s="23" t="n">
        <v>1397715000</v>
      </c>
      <c r="V199" s="33" t="n">
        <f aca="false">YEARFRAC(W199,X199,1)</f>
        <v>46.92128678987</v>
      </c>
      <c r="W199" s="34" t="n">
        <f aca="false">DATE(M199,N199,O199)</f>
        <v>28904</v>
      </c>
      <c r="X199" s="34" t="n">
        <f aca="true">TODAY()</f>
        <v>46042</v>
      </c>
    </row>
    <row r="200" customFormat="false" ht="15" hidden="false" customHeight="false" outlineLevel="0" collapsed="false">
      <c r="A200" s="23" t="n">
        <v>206</v>
      </c>
      <c r="B200" s="23" t="s">
        <v>49</v>
      </c>
      <c r="C200" s="23" t="s">
        <v>853</v>
      </c>
      <c r="D200" s="23" t="s">
        <v>42</v>
      </c>
      <c r="E200" s="23" t="s">
        <v>854</v>
      </c>
      <c r="F200" s="23" t="s">
        <v>855</v>
      </c>
      <c r="G200" s="23" t="s">
        <v>49</v>
      </c>
      <c r="H200" s="32" t="s">
        <v>45</v>
      </c>
      <c r="I200" s="23" t="s">
        <v>37</v>
      </c>
      <c r="J200" s="23" t="s">
        <v>856</v>
      </c>
      <c r="K200" s="23" t="s">
        <v>857</v>
      </c>
      <c r="L200" s="23" t="n">
        <v>9300</v>
      </c>
      <c r="M200" s="23" t="n">
        <v>1981</v>
      </c>
      <c r="N200" s="23" t="n">
        <v>8</v>
      </c>
      <c r="O200" s="23" t="n">
        <v>29</v>
      </c>
      <c r="P200" s="23" t="n">
        <v>117.24</v>
      </c>
      <c r="Q200" s="24" t="n">
        <v>21427700000000</v>
      </c>
      <c r="R200" s="23" t="n">
        <v>78.5</v>
      </c>
      <c r="S200" s="23" t="n">
        <v>9.6</v>
      </c>
      <c r="T200" s="23" t="n">
        <v>36.6</v>
      </c>
      <c r="U200" s="23" t="n">
        <v>328239523</v>
      </c>
      <c r="V200" s="33" t="n">
        <f aca="false">YEARFRAC(W200,X200,1)</f>
        <v>44.3955716921612</v>
      </c>
      <c r="W200" s="34" t="n">
        <f aca="false">DATE(M200,N200,O200)</f>
        <v>29827</v>
      </c>
      <c r="X200" s="34" t="n">
        <f aca="true">TODAY()</f>
        <v>46042</v>
      </c>
    </row>
    <row r="201" customFormat="false" ht="15" hidden="false" customHeight="false" outlineLevel="0" collapsed="false">
      <c r="A201" s="23" t="n">
        <v>206</v>
      </c>
      <c r="B201" s="23" t="s">
        <v>264</v>
      </c>
      <c r="C201" s="23" t="s">
        <v>858</v>
      </c>
      <c r="D201" s="23" t="s">
        <v>241</v>
      </c>
      <c r="E201" s="23" t="s">
        <v>859</v>
      </c>
      <c r="F201" s="23" t="s">
        <v>860</v>
      </c>
      <c r="G201" s="23" t="s">
        <v>264</v>
      </c>
      <c r="H201" s="32" t="s">
        <v>45</v>
      </c>
      <c r="I201" s="23" t="s">
        <v>37</v>
      </c>
      <c r="J201" s="23" t="s">
        <v>861</v>
      </c>
      <c r="K201" s="23" t="s">
        <v>359</v>
      </c>
      <c r="L201" s="23" t="n">
        <v>9300</v>
      </c>
      <c r="M201" s="23" t="n">
        <v>1947</v>
      </c>
      <c r="N201" s="23" t="n">
        <v>5</v>
      </c>
      <c r="O201" s="23" t="n">
        <v>2</v>
      </c>
      <c r="P201" s="23" t="n">
        <v>119.62</v>
      </c>
      <c r="Q201" s="24" t="n">
        <v>2827113184696</v>
      </c>
      <c r="R201" s="23" t="n">
        <v>81.3</v>
      </c>
      <c r="S201" s="23" t="n">
        <v>25.5</v>
      </c>
      <c r="T201" s="23" t="n">
        <v>30.6</v>
      </c>
      <c r="U201" s="23" t="n">
        <v>66834405</v>
      </c>
      <c r="V201" s="33" t="n">
        <f aca="false">YEARFRAC(W201,X201,1)</f>
        <v>78.7214236824093</v>
      </c>
      <c r="W201" s="34" t="n">
        <f aca="false">DATE(M201,N201,O201)</f>
        <v>17289</v>
      </c>
      <c r="X201" s="34" t="n">
        <f aca="true">TODAY()</f>
        <v>46042</v>
      </c>
    </row>
    <row r="202" customFormat="false" ht="15" hidden="false" customHeight="false" outlineLevel="0" collapsed="false">
      <c r="A202" s="23" t="n">
        <v>208</v>
      </c>
      <c r="B202" s="23" t="s">
        <v>89</v>
      </c>
      <c r="C202" s="23" t="s">
        <v>862</v>
      </c>
      <c r="D202" s="23" t="s">
        <v>338</v>
      </c>
      <c r="E202" s="23" t="s">
        <v>339</v>
      </c>
      <c r="F202" s="23" t="s">
        <v>408</v>
      </c>
      <c r="G202" s="23" t="s">
        <v>89</v>
      </c>
      <c r="H202" s="32" t="s">
        <v>45</v>
      </c>
      <c r="I202" s="23" t="s">
        <v>37</v>
      </c>
      <c r="J202" s="23" t="s">
        <v>863</v>
      </c>
      <c r="K202" s="23" t="s">
        <v>864</v>
      </c>
      <c r="L202" s="23" t="n">
        <v>9200</v>
      </c>
      <c r="M202" s="23" t="n">
        <v>1966</v>
      </c>
      <c r="N202" s="23" t="n">
        <v>10</v>
      </c>
      <c r="O202" s="23" t="n">
        <v>24</v>
      </c>
      <c r="P202" s="23" t="n">
        <v>180.75</v>
      </c>
      <c r="Q202" s="24" t="n">
        <v>1699876578871</v>
      </c>
      <c r="R202" s="23" t="n">
        <v>72.7</v>
      </c>
      <c r="S202" s="23" t="n">
        <v>11.4</v>
      </c>
      <c r="T202" s="23" t="n">
        <v>46.2</v>
      </c>
      <c r="U202" s="23" t="n">
        <v>144373535</v>
      </c>
      <c r="V202" s="33" t="n">
        <f aca="false">YEARFRAC(W202,X202,1)</f>
        <v>59.2422800718133</v>
      </c>
      <c r="W202" s="34" t="n">
        <f aca="false">DATE(M202,N202,O202)</f>
        <v>24404</v>
      </c>
      <c r="X202" s="34" t="n">
        <f aca="true">TODAY()</f>
        <v>46042</v>
      </c>
    </row>
    <row r="203" customFormat="false" ht="15" hidden="false" customHeight="false" outlineLevel="0" collapsed="false">
      <c r="A203" s="23" t="n">
        <v>208</v>
      </c>
      <c r="B203" s="23" t="s">
        <v>89</v>
      </c>
      <c r="C203" s="23" t="s">
        <v>865</v>
      </c>
      <c r="D203" s="23" t="s">
        <v>505</v>
      </c>
      <c r="E203" s="23" t="s">
        <v>506</v>
      </c>
      <c r="F203" s="23" t="s">
        <v>89</v>
      </c>
      <c r="G203" s="23" t="s">
        <v>89</v>
      </c>
      <c r="H203" s="32" t="s">
        <v>36</v>
      </c>
      <c r="I203" s="23" t="s">
        <v>103</v>
      </c>
      <c r="J203" s="23" t="s">
        <v>866</v>
      </c>
      <c r="K203" s="23" t="s">
        <v>867</v>
      </c>
      <c r="L203" s="23" t="n">
        <v>9200</v>
      </c>
      <c r="M203" s="23" t="n">
        <v>1943</v>
      </c>
      <c r="N203" s="23" t="n">
        <v>9</v>
      </c>
      <c r="O203" s="23" t="n">
        <v>6</v>
      </c>
      <c r="P203" s="23" t="n">
        <v>110.51</v>
      </c>
      <c r="Q203" s="24" t="n">
        <v>530832908738</v>
      </c>
      <c r="R203" s="23" t="n">
        <v>82.5</v>
      </c>
      <c r="S203" s="23" t="n">
        <v>27.9</v>
      </c>
      <c r="T203" s="23" t="n">
        <v>49.1</v>
      </c>
      <c r="U203" s="23" t="n">
        <v>10285453</v>
      </c>
      <c r="V203" s="33" t="n">
        <f aca="false">YEARFRAC(W203,X203,1)</f>
        <v>82.3737166324435</v>
      </c>
      <c r="W203" s="34" t="n">
        <f aca="false">DATE(M203,N203,O203)</f>
        <v>15955</v>
      </c>
      <c r="X203" s="34" t="n">
        <f aca="true">TODAY()</f>
        <v>46042</v>
      </c>
    </row>
    <row r="204" customFormat="false" ht="15" hidden="false" customHeight="false" outlineLevel="0" collapsed="false">
      <c r="A204" s="23" t="n">
        <v>208</v>
      </c>
      <c r="B204" s="23" t="s">
        <v>305</v>
      </c>
      <c r="C204" s="23" t="s">
        <v>868</v>
      </c>
      <c r="D204" s="23" t="s">
        <v>496</v>
      </c>
      <c r="E204" s="23" t="s">
        <v>497</v>
      </c>
      <c r="F204" s="23" t="s">
        <v>869</v>
      </c>
      <c r="G204" s="23" t="s">
        <v>305</v>
      </c>
      <c r="H204" s="32" t="s">
        <v>45</v>
      </c>
      <c r="I204" s="23" t="s">
        <v>37</v>
      </c>
      <c r="J204" s="23" t="s">
        <v>870</v>
      </c>
      <c r="K204" s="23" t="s">
        <v>456</v>
      </c>
      <c r="L204" s="23" t="n">
        <v>9200</v>
      </c>
      <c r="M204" s="23" t="n">
        <v>1975</v>
      </c>
      <c r="N204" s="23" t="n">
        <v>7</v>
      </c>
      <c r="O204" s="23" t="n">
        <v>9</v>
      </c>
      <c r="P204" s="23" t="n">
        <v>116.48</v>
      </c>
      <c r="Q204" s="24" t="n">
        <v>246489245495</v>
      </c>
      <c r="R204" s="23" t="n">
        <v>79</v>
      </c>
      <c r="S204" s="23" t="n">
        <v>14.9</v>
      </c>
      <c r="T204" s="23" t="n">
        <v>46.1</v>
      </c>
      <c r="U204" s="23" t="n">
        <v>10669709</v>
      </c>
      <c r="V204" s="33" t="n">
        <f aca="false">YEARFRAC(W204,X204,1)</f>
        <v>50.5352498288843</v>
      </c>
      <c r="W204" s="34" t="n">
        <f aca="false">DATE(M204,N204,O204)</f>
        <v>27584</v>
      </c>
      <c r="X204" s="34" t="n">
        <f aca="true">TODAY()</f>
        <v>46042</v>
      </c>
    </row>
    <row r="205" customFormat="false" ht="15" hidden="false" customHeight="false" outlineLevel="0" collapsed="false">
      <c r="A205" s="23" t="n">
        <v>208</v>
      </c>
      <c r="B205" s="23" t="s">
        <v>75</v>
      </c>
      <c r="C205" s="23" t="s">
        <v>871</v>
      </c>
      <c r="D205" s="23" t="s">
        <v>42</v>
      </c>
      <c r="E205" s="23" t="s">
        <v>872</v>
      </c>
      <c r="F205" s="23" t="s">
        <v>873</v>
      </c>
      <c r="G205" s="23" t="s">
        <v>75</v>
      </c>
      <c r="H205" s="32" t="s">
        <v>45</v>
      </c>
      <c r="I205" s="23" t="s">
        <v>37</v>
      </c>
      <c r="J205" s="23" t="s">
        <v>874</v>
      </c>
      <c r="K205" s="23" t="s">
        <v>207</v>
      </c>
      <c r="L205" s="23" t="n">
        <v>9200</v>
      </c>
      <c r="M205" s="23" t="n">
        <v>1941</v>
      </c>
      <c r="N205" s="23" t="n">
        <v>3</v>
      </c>
      <c r="O205" s="23" t="n">
        <v>7</v>
      </c>
      <c r="P205" s="23" t="n">
        <v>117.24</v>
      </c>
      <c r="Q205" s="24" t="n">
        <v>21427700000000</v>
      </c>
      <c r="R205" s="23" t="n">
        <v>78.5</v>
      </c>
      <c r="S205" s="23" t="n">
        <v>9.6</v>
      </c>
      <c r="T205" s="23" t="n">
        <v>36.6</v>
      </c>
      <c r="U205" s="23" t="n">
        <v>328239523</v>
      </c>
      <c r="V205" s="33" t="n">
        <f aca="false">YEARFRAC(W205,X205,1)</f>
        <v>84.8747254146637</v>
      </c>
      <c r="W205" s="34" t="n">
        <f aca="false">DATE(M205,N205,O205)</f>
        <v>15042</v>
      </c>
      <c r="X205" s="34" t="n">
        <f aca="true">TODAY()</f>
        <v>46042</v>
      </c>
    </row>
    <row r="206" customFormat="false" ht="15" hidden="false" customHeight="false" outlineLevel="0" collapsed="false">
      <c r="A206" s="23" t="n">
        <v>208</v>
      </c>
      <c r="B206" s="23" t="s">
        <v>49</v>
      </c>
      <c r="C206" s="23" t="s">
        <v>875</v>
      </c>
      <c r="D206" s="23" t="s">
        <v>91</v>
      </c>
      <c r="E206" s="23" t="s">
        <v>876</v>
      </c>
      <c r="F206" s="23" t="s">
        <v>877</v>
      </c>
      <c r="G206" s="23" t="s">
        <v>49</v>
      </c>
      <c r="H206" s="32" t="s">
        <v>36</v>
      </c>
      <c r="I206" s="23" t="s">
        <v>37</v>
      </c>
      <c r="J206" s="23" t="s">
        <v>878</v>
      </c>
      <c r="K206" s="23" t="s">
        <v>879</v>
      </c>
      <c r="L206" s="23" t="n">
        <v>9200</v>
      </c>
      <c r="M206" s="23" t="n">
        <v>1945</v>
      </c>
      <c r="N206" s="23" t="n">
        <v>7</v>
      </c>
      <c r="O206" s="23" t="n">
        <v>24</v>
      </c>
      <c r="P206" s="23" t="n">
        <v>180.44</v>
      </c>
      <c r="Q206" s="24" t="n">
        <v>2611000000000</v>
      </c>
      <c r="R206" s="23" t="n">
        <v>69.4</v>
      </c>
      <c r="S206" s="23" t="n">
        <v>11.2</v>
      </c>
      <c r="T206" s="23" t="n">
        <v>49.7</v>
      </c>
      <c r="U206" s="23" t="n">
        <v>1366417754</v>
      </c>
      <c r="V206" s="33" t="n">
        <f aca="false">YEARFRAC(W206,X206,1)</f>
        <v>80.4941569282137</v>
      </c>
      <c r="W206" s="34" t="n">
        <f aca="false">DATE(M206,N206,O206)</f>
        <v>16642</v>
      </c>
      <c r="X206" s="34" t="n">
        <f aca="true">TODAY()</f>
        <v>46042</v>
      </c>
    </row>
    <row r="207" customFormat="false" ht="15" hidden="false" customHeight="false" outlineLevel="0" collapsed="false">
      <c r="A207" s="23" t="n">
        <v>208</v>
      </c>
      <c r="B207" s="23" t="s">
        <v>62</v>
      </c>
      <c r="C207" s="23" t="s">
        <v>880</v>
      </c>
      <c r="D207" s="23" t="s">
        <v>42</v>
      </c>
      <c r="E207" s="23" t="s">
        <v>881</v>
      </c>
      <c r="F207" s="23" t="s">
        <v>314</v>
      </c>
      <c r="G207" s="23" t="s">
        <v>62</v>
      </c>
      <c r="H207" s="32" t="s">
        <v>45</v>
      </c>
      <c r="I207" s="23" t="s">
        <v>37</v>
      </c>
      <c r="J207" s="23" t="s">
        <v>882</v>
      </c>
      <c r="K207" s="23" t="s">
        <v>140</v>
      </c>
      <c r="L207" s="23" t="n">
        <v>9200</v>
      </c>
      <c r="M207" s="23" t="n">
        <v>1937</v>
      </c>
      <c r="N207" s="23" t="n">
        <v>7</v>
      </c>
      <c r="O207" s="23" t="n">
        <v>29</v>
      </c>
      <c r="P207" s="23" t="n">
        <v>117.24</v>
      </c>
      <c r="Q207" s="24" t="n">
        <v>21427700000000</v>
      </c>
      <c r="R207" s="23" t="n">
        <v>78.5</v>
      </c>
      <c r="S207" s="23" t="n">
        <v>9.6</v>
      </c>
      <c r="T207" s="23" t="n">
        <v>36.6</v>
      </c>
      <c r="U207" s="23" t="n">
        <v>328239523</v>
      </c>
      <c r="V207" s="33" t="n">
        <f aca="false">YEARFRAC(W207,X207,1)</f>
        <v>88.4804697006571</v>
      </c>
      <c r="W207" s="34" t="n">
        <f aca="false">DATE(M207,N207,O207)</f>
        <v>13725</v>
      </c>
      <c r="X207" s="34" t="n">
        <f aca="true">TODAY()</f>
        <v>46042</v>
      </c>
    </row>
    <row r="208" customFormat="false" ht="15" hidden="false" customHeight="false" outlineLevel="0" collapsed="false">
      <c r="A208" s="23" t="n">
        <v>208</v>
      </c>
      <c r="B208" s="23" t="s">
        <v>31</v>
      </c>
      <c r="C208" s="23" t="s">
        <v>883</v>
      </c>
      <c r="D208" s="23" t="s">
        <v>42</v>
      </c>
      <c r="E208" s="23" t="s">
        <v>884</v>
      </c>
      <c r="F208" s="23" t="s">
        <v>885</v>
      </c>
      <c r="G208" s="23" t="s">
        <v>31</v>
      </c>
      <c r="H208" s="32" t="s">
        <v>45</v>
      </c>
      <c r="I208" s="23" t="s">
        <v>37</v>
      </c>
      <c r="J208" s="23" t="s">
        <v>886</v>
      </c>
      <c r="K208" s="23" t="s">
        <v>429</v>
      </c>
      <c r="L208" s="23" t="n">
        <v>9200</v>
      </c>
      <c r="M208" s="23" t="n">
        <v>1960</v>
      </c>
      <c r="N208" s="23" t="n">
        <v>1</v>
      </c>
      <c r="O208" s="23" t="n">
        <v>1</v>
      </c>
      <c r="P208" s="23" t="n">
        <v>117.24</v>
      </c>
      <c r="Q208" s="24" t="n">
        <v>21427700000000</v>
      </c>
      <c r="R208" s="23" t="n">
        <v>78.5</v>
      </c>
      <c r="S208" s="23" t="n">
        <v>9.6</v>
      </c>
      <c r="T208" s="23" t="n">
        <v>36.6</v>
      </c>
      <c r="U208" s="23" t="n">
        <v>328239523</v>
      </c>
      <c r="V208" s="33" t="n">
        <f aca="false">YEARFRAC(W208,X208,1)</f>
        <v>66.0527133050016</v>
      </c>
      <c r="W208" s="34" t="n">
        <f aca="false">DATE(M208,N208,O208)</f>
        <v>21916</v>
      </c>
      <c r="X208" s="34" t="n">
        <f aca="true">TODAY()</f>
        <v>46042</v>
      </c>
    </row>
    <row r="209" customFormat="false" ht="15" hidden="false" customHeight="false" outlineLevel="0" collapsed="false">
      <c r="A209" s="23" t="n">
        <v>215</v>
      </c>
      <c r="B209" s="23" t="s">
        <v>49</v>
      </c>
      <c r="C209" s="23" t="s">
        <v>887</v>
      </c>
      <c r="D209" s="23" t="s">
        <v>42</v>
      </c>
      <c r="E209" s="23" t="s">
        <v>108</v>
      </c>
      <c r="F209" s="23" t="s">
        <v>109</v>
      </c>
      <c r="G209" s="23" t="s">
        <v>49</v>
      </c>
      <c r="H209" s="32" t="s">
        <v>45</v>
      </c>
      <c r="I209" s="23" t="s">
        <v>37</v>
      </c>
      <c r="J209" s="23" t="s">
        <v>888</v>
      </c>
      <c r="K209" s="23" t="s">
        <v>158</v>
      </c>
      <c r="L209" s="23" t="n">
        <v>9000</v>
      </c>
      <c r="M209" s="23" t="n">
        <v>1951</v>
      </c>
      <c r="N209" s="23" t="n">
        <v>3</v>
      </c>
      <c r="O209" s="23" t="n">
        <v>29</v>
      </c>
      <c r="P209" s="23" t="n">
        <v>117.24</v>
      </c>
      <c r="Q209" s="24" t="n">
        <v>21427700000000</v>
      </c>
      <c r="R209" s="23" t="n">
        <v>78.5</v>
      </c>
      <c r="S209" s="23" t="n">
        <v>9.6</v>
      </c>
      <c r="T209" s="23" t="n">
        <v>36.6</v>
      </c>
      <c r="U209" s="23" t="n">
        <v>328239523</v>
      </c>
      <c r="V209" s="33" t="n">
        <f aca="false">YEARFRAC(W209,X209,1)</f>
        <v>74.8145106091718</v>
      </c>
      <c r="W209" s="34" t="n">
        <f aca="false">DATE(M209,N209,O209)</f>
        <v>18716</v>
      </c>
      <c r="X209" s="34" t="n">
        <f aca="true">TODAY()</f>
        <v>46042</v>
      </c>
    </row>
    <row r="210" customFormat="false" ht="15" hidden="false" customHeight="false" outlineLevel="0" collapsed="false">
      <c r="A210" s="23" t="n">
        <v>215</v>
      </c>
      <c r="B210" s="23" t="s">
        <v>286</v>
      </c>
      <c r="C210" s="23" t="s">
        <v>889</v>
      </c>
      <c r="D210" s="23" t="s">
        <v>189</v>
      </c>
      <c r="E210" s="23" t="s">
        <v>890</v>
      </c>
      <c r="F210" s="23" t="s">
        <v>290</v>
      </c>
      <c r="G210" s="23" t="s">
        <v>286</v>
      </c>
      <c r="H210" s="32" t="s">
        <v>45</v>
      </c>
      <c r="I210" s="23" t="s">
        <v>37</v>
      </c>
      <c r="J210" s="23" t="s">
        <v>891</v>
      </c>
      <c r="K210" s="23" t="s">
        <v>892</v>
      </c>
      <c r="L210" s="23" t="n">
        <v>9000</v>
      </c>
      <c r="M210" s="23" t="n">
        <v>1957</v>
      </c>
      <c r="N210" s="23" t="n">
        <v>1</v>
      </c>
      <c r="O210" s="23" t="n">
        <v>7</v>
      </c>
      <c r="P210" s="23" t="n">
        <v>99.55</v>
      </c>
      <c r="Q210" s="24" t="n">
        <v>703082435360</v>
      </c>
      <c r="R210" s="23" t="n">
        <v>83.6</v>
      </c>
      <c r="S210" s="23" t="n">
        <v>10.1</v>
      </c>
      <c r="T210" s="23" t="n">
        <v>28.8</v>
      </c>
      <c r="U210" s="23" t="n">
        <v>8574832</v>
      </c>
      <c r="V210" s="33" t="n">
        <f aca="false">YEARFRAC(W210,X210,1)</f>
        <v>69.0362576759104</v>
      </c>
      <c r="W210" s="34" t="n">
        <f aca="false">DATE(M210,N210,O210)</f>
        <v>20827</v>
      </c>
      <c r="X210" s="34" t="n">
        <f aca="true">TODAY()</f>
        <v>46042</v>
      </c>
    </row>
    <row r="211" customFormat="false" ht="15" hidden="false" customHeight="false" outlineLevel="0" collapsed="false">
      <c r="A211" s="23" t="n">
        <v>215</v>
      </c>
      <c r="B211" s="23" t="s">
        <v>471</v>
      </c>
      <c r="C211" s="23" t="s">
        <v>893</v>
      </c>
      <c r="D211" s="23" t="s">
        <v>178</v>
      </c>
      <c r="E211" s="23" t="s">
        <v>894</v>
      </c>
      <c r="F211" s="23" t="s">
        <v>474</v>
      </c>
      <c r="G211" s="23" t="s">
        <v>471</v>
      </c>
      <c r="H211" s="32" t="s">
        <v>36</v>
      </c>
      <c r="I211" s="23" t="s">
        <v>37</v>
      </c>
      <c r="J211" s="23" t="s">
        <v>895</v>
      </c>
      <c r="K211" s="23" t="s">
        <v>896</v>
      </c>
      <c r="L211" s="23" t="n">
        <v>9000</v>
      </c>
      <c r="M211" s="23" t="n">
        <v>1967</v>
      </c>
      <c r="N211" s="23" t="n">
        <v>7</v>
      </c>
      <c r="O211" s="23" t="n">
        <v>7</v>
      </c>
      <c r="P211" s="23" t="n">
        <v>112.85</v>
      </c>
      <c r="Q211" s="24" t="n">
        <v>3845630030824</v>
      </c>
      <c r="R211" s="23" t="n">
        <v>80.9</v>
      </c>
      <c r="S211" s="23" t="n">
        <v>11.5</v>
      </c>
      <c r="T211" s="23" t="n">
        <v>48.8</v>
      </c>
      <c r="U211" s="23" t="n">
        <v>83132799</v>
      </c>
      <c r="V211" s="33" t="n">
        <f aca="false">YEARFRAC(W211,X211,1)</f>
        <v>58.5407255304586</v>
      </c>
      <c r="W211" s="34" t="n">
        <f aca="false">DATE(M211,N211,O211)</f>
        <v>24660</v>
      </c>
      <c r="X211" s="34" t="n">
        <f aca="true">TODAY()</f>
        <v>46042</v>
      </c>
    </row>
    <row r="212" customFormat="false" ht="15" hidden="false" customHeight="false" outlineLevel="0" collapsed="false">
      <c r="A212" s="23" t="n">
        <v>215</v>
      </c>
      <c r="B212" s="23" t="s">
        <v>124</v>
      </c>
      <c r="C212" s="23" t="s">
        <v>897</v>
      </c>
      <c r="D212" s="23" t="s">
        <v>154</v>
      </c>
      <c r="E212" s="23" t="s">
        <v>843</v>
      </c>
      <c r="F212" s="23" t="s">
        <v>898</v>
      </c>
      <c r="G212" s="23" t="s">
        <v>124</v>
      </c>
      <c r="H212" s="32" t="s">
        <v>45</v>
      </c>
      <c r="I212" s="23" t="s">
        <v>37</v>
      </c>
      <c r="J212" s="23" t="s">
        <v>899</v>
      </c>
      <c r="K212" s="23" t="s">
        <v>678</v>
      </c>
      <c r="L212" s="23" t="n">
        <v>9000</v>
      </c>
      <c r="M212" s="23" t="n">
        <v>1950</v>
      </c>
      <c r="N212" s="23" t="n">
        <v>3</v>
      </c>
      <c r="O212" s="23" t="n">
        <v>10</v>
      </c>
      <c r="P212" s="23" t="n">
        <v>116.76</v>
      </c>
      <c r="Q212" s="24" t="n">
        <v>1736425629520</v>
      </c>
      <c r="R212" s="23" t="n">
        <v>81.9</v>
      </c>
      <c r="S212" s="23" t="n">
        <v>12.8</v>
      </c>
      <c r="T212" s="23" t="n">
        <v>24.5</v>
      </c>
      <c r="U212" s="23" t="n">
        <v>36991981</v>
      </c>
      <c r="V212" s="33" t="n">
        <f aca="false">YEARFRAC(W212,X212,1)</f>
        <v>75.8665196984782</v>
      </c>
      <c r="W212" s="34" t="n">
        <f aca="false">DATE(M212,N212,O212)</f>
        <v>18332</v>
      </c>
      <c r="X212" s="34" t="n">
        <f aca="true">TODAY()</f>
        <v>46042</v>
      </c>
    </row>
    <row r="213" customFormat="false" ht="15" hidden="false" customHeight="false" outlineLevel="0" collapsed="false">
      <c r="A213" s="23" t="n">
        <v>215</v>
      </c>
      <c r="B213" s="23" t="s">
        <v>264</v>
      </c>
      <c r="C213" s="23" t="s">
        <v>900</v>
      </c>
      <c r="D213" s="23" t="s">
        <v>126</v>
      </c>
      <c r="E213" s="23" t="s">
        <v>901</v>
      </c>
      <c r="F213" s="23" t="s">
        <v>902</v>
      </c>
      <c r="G213" s="23" t="s">
        <v>264</v>
      </c>
      <c r="H213" s="32" t="s">
        <v>45</v>
      </c>
      <c r="I213" s="23" t="s">
        <v>37</v>
      </c>
      <c r="J213" s="23" t="s">
        <v>393</v>
      </c>
      <c r="K213" s="23" t="s">
        <v>903</v>
      </c>
      <c r="L213" s="23" t="n">
        <v>9000</v>
      </c>
      <c r="M213" s="23" t="n">
        <v>1966</v>
      </c>
      <c r="N213" s="23" t="n">
        <v>2</v>
      </c>
      <c r="O213" s="23" t="n">
        <v>24</v>
      </c>
      <c r="P213" s="23" t="n">
        <v>125.08</v>
      </c>
      <c r="Q213" s="24" t="n">
        <v>19910000000000</v>
      </c>
      <c r="R213" s="23" t="n">
        <v>77</v>
      </c>
      <c r="S213" s="23" t="n">
        <v>9.4</v>
      </c>
      <c r="T213" s="23" t="n">
        <v>59.2</v>
      </c>
      <c r="U213" s="23" t="n">
        <v>1397715000</v>
      </c>
      <c r="V213" s="33" t="n">
        <f aca="false">YEARFRAC(W213,X213,1)</f>
        <v>59.9048473967684</v>
      </c>
      <c r="W213" s="34" t="n">
        <f aca="false">DATE(M213,N213,O213)</f>
        <v>24162</v>
      </c>
      <c r="X213" s="34" t="n">
        <f aca="true">TODAY()</f>
        <v>46042</v>
      </c>
    </row>
    <row r="214" customFormat="false" ht="15" hidden="false" customHeight="false" outlineLevel="0" collapsed="false">
      <c r="A214" s="23" t="n">
        <v>220</v>
      </c>
      <c r="B214" s="23" t="s">
        <v>124</v>
      </c>
      <c r="C214" s="23" t="s">
        <v>904</v>
      </c>
      <c r="D214" s="23" t="s">
        <v>241</v>
      </c>
      <c r="E214" s="23" t="s">
        <v>242</v>
      </c>
      <c r="F214" s="23" t="s">
        <v>905</v>
      </c>
      <c r="G214" s="23" t="s">
        <v>124</v>
      </c>
      <c r="H214" s="32" t="s">
        <v>36</v>
      </c>
      <c r="I214" s="23" t="s">
        <v>37</v>
      </c>
      <c r="J214" s="23" t="s">
        <v>906</v>
      </c>
      <c r="K214" s="23" t="s">
        <v>907</v>
      </c>
      <c r="L214" s="23" t="n">
        <v>8900</v>
      </c>
      <c r="M214" s="23" t="n">
        <v>1955</v>
      </c>
      <c r="N214" s="23" t="n">
        <v>1</v>
      </c>
      <c r="O214" s="23" t="n">
        <v>1</v>
      </c>
      <c r="P214" s="23" t="n">
        <v>119.62</v>
      </c>
      <c r="Q214" s="24" t="n">
        <v>2827113184696</v>
      </c>
      <c r="R214" s="23" t="n">
        <v>81.3</v>
      </c>
      <c r="S214" s="23" t="n">
        <v>25.5</v>
      </c>
      <c r="T214" s="23" t="n">
        <v>30.6</v>
      </c>
      <c r="U214" s="23" t="n">
        <v>66834405</v>
      </c>
      <c r="V214" s="33" t="n">
        <f aca="false">YEARFRAC(W214,X214,1)</f>
        <v>71.0527036276523</v>
      </c>
      <c r="W214" s="34" t="n">
        <f aca="false">DATE(M214,N214,O214)</f>
        <v>20090</v>
      </c>
      <c r="X214" s="34" t="n">
        <f aca="true">TODAY()</f>
        <v>46042</v>
      </c>
    </row>
    <row r="215" customFormat="false" ht="15" hidden="false" customHeight="false" outlineLevel="0" collapsed="false">
      <c r="A215" s="23" t="n">
        <v>220</v>
      </c>
      <c r="B215" s="23" t="s">
        <v>124</v>
      </c>
      <c r="C215" s="23" t="s">
        <v>908</v>
      </c>
      <c r="D215" s="23" t="s">
        <v>241</v>
      </c>
      <c r="E215" s="23" t="s">
        <v>909</v>
      </c>
      <c r="F215" s="23" t="s">
        <v>905</v>
      </c>
      <c r="G215" s="23" t="s">
        <v>124</v>
      </c>
      <c r="H215" s="32" t="s">
        <v>36</v>
      </c>
      <c r="I215" s="23" t="s">
        <v>37</v>
      </c>
      <c r="J215" s="23" t="s">
        <v>906</v>
      </c>
      <c r="K215" s="23" t="s">
        <v>910</v>
      </c>
      <c r="L215" s="23" t="n">
        <v>8900</v>
      </c>
      <c r="M215" s="23" t="n">
        <v>1960</v>
      </c>
      <c r="N215" s="23" t="n">
        <v>1</v>
      </c>
      <c r="O215" s="23" t="n">
        <v>1</v>
      </c>
      <c r="P215" s="23" t="n">
        <v>119.62</v>
      </c>
      <c r="Q215" s="24" t="n">
        <v>2827113184696</v>
      </c>
      <c r="R215" s="23" t="n">
        <v>81.3</v>
      </c>
      <c r="S215" s="23" t="n">
        <v>25.5</v>
      </c>
      <c r="T215" s="23" t="n">
        <v>30.6</v>
      </c>
      <c r="U215" s="23" t="n">
        <v>66834405</v>
      </c>
      <c r="V215" s="33" t="n">
        <f aca="false">YEARFRAC(W215,X215,1)</f>
        <v>66.0527133050016</v>
      </c>
      <c r="W215" s="34" t="n">
        <f aca="false">DATE(M215,N215,O215)</f>
        <v>21916</v>
      </c>
      <c r="X215" s="34" t="n">
        <f aca="true">TODAY()</f>
        <v>46042</v>
      </c>
    </row>
    <row r="216" customFormat="false" ht="15" hidden="false" customHeight="false" outlineLevel="0" collapsed="false">
      <c r="A216" s="23" t="n">
        <v>220</v>
      </c>
      <c r="B216" s="23" t="s">
        <v>124</v>
      </c>
      <c r="C216" s="23" t="s">
        <v>911</v>
      </c>
      <c r="D216" s="23" t="s">
        <v>241</v>
      </c>
      <c r="E216" s="23" t="s">
        <v>912</v>
      </c>
      <c r="F216" s="23" t="s">
        <v>905</v>
      </c>
      <c r="G216" s="23" t="s">
        <v>124</v>
      </c>
      <c r="H216" s="32" t="s">
        <v>36</v>
      </c>
      <c r="I216" s="23" t="s">
        <v>103</v>
      </c>
      <c r="J216" s="23" t="s">
        <v>906</v>
      </c>
      <c r="K216" s="23" t="s">
        <v>913</v>
      </c>
      <c r="L216" s="23" t="n">
        <v>8900</v>
      </c>
      <c r="M216" s="23" t="n">
        <v>1952</v>
      </c>
      <c r="N216" s="23" t="n">
        <v>6</v>
      </c>
      <c r="O216" s="23" t="n">
        <v>6</v>
      </c>
      <c r="P216" s="23" t="n">
        <v>119.62</v>
      </c>
      <c r="Q216" s="24" t="n">
        <v>2827113184696</v>
      </c>
      <c r="R216" s="23" t="n">
        <v>81.3</v>
      </c>
      <c r="S216" s="23" t="n">
        <v>25.5</v>
      </c>
      <c r="T216" s="23" t="n">
        <v>30.6</v>
      </c>
      <c r="U216" s="23" t="n">
        <v>66834405</v>
      </c>
      <c r="V216" s="33" t="n">
        <f aca="false">YEARFRAC(W216,X216,1)</f>
        <v>73.622873621961</v>
      </c>
      <c r="W216" s="34" t="n">
        <f aca="false">DATE(M216,N216,O216)</f>
        <v>19151</v>
      </c>
      <c r="X216" s="34" t="n">
        <f aca="true">TODAY()</f>
        <v>46042</v>
      </c>
    </row>
    <row r="217" customFormat="false" ht="15" hidden="false" customHeight="false" outlineLevel="0" collapsed="false">
      <c r="A217" s="23" t="n">
        <v>223</v>
      </c>
      <c r="B217" s="23" t="s">
        <v>31</v>
      </c>
      <c r="C217" s="23" t="s">
        <v>914</v>
      </c>
      <c r="D217" s="23" t="s">
        <v>338</v>
      </c>
      <c r="E217" s="23" t="s">
        <v>915</v>
      </c>
      <c r="F217" s="23" t="s">
        <v>916</v>
      </c>
      <c r="G217" s="23" t="s">
        <v>31</v>
      </c>
      <c r="H217" s="32" t="s">
        <v>45</v>
      </c>
      <c r="I217" s="23" t="s">
        <v>103</v>
      </c>
      <c r="J217" s="23" t="s">
        <v>917</v>
      </c>
      <c r="K217" s="23" t="s">
        <v>918</v>
      </c>
      <c r="L217" s="23" t="n">
        <v>8800</v>
      </c>
      <c r="M217" s="23" t="n">
        <v>1975</v>
      </c>
      <c r="N217" s="23" t="n">
        <v>10</v>
      </c>
      <c r="O217" s="23" t="n">
        <v>16</v>
      </c>
      <c r="P217" s="23" t="n">
        <v>180.75</v>
      </c>
      <c r="Q217" s="24" t="n">
        <v>1699876578871</v>
      </c>
      <c r="R217" s="23" t="n">
        <v>72.7</v>
      </c>
      <c r="S217" s="23" t="n">
        <v>11.4</v>
      </c>
      <c r="T217" s="23" t="n">
        <v>46.2</v>
      </c>
      <c r="U217" s="23" t="n">
        <v>144373535</v>
      </c>
      <c r="V217" s="33" t="n">
        <f aca="false">YEARFRAC(W217,X217,1)</f>
        <v>50.2642026009583</v>
      </c>
      <c r="W217" s="34" t="n">
        <f aca="false">DATE(M217,N217,O217)</f>
        <v>27683</v>
      </c>
      <c r="X217" s="34" t="n">
        <f aca="true">TODAY()</f>
        <v>46042</v>
      </c>
    </row>
    <row r="218" customFormat="false" ht="15" hidden="false" customHeight="false" outlineLevel="0" collapsed="false">
      <c r="A218" s="23" t="n">
        <v>223</v>
      </c>
      <c r="B218" s="23" t="s">
        <v>49</v>
      </c>
      <c r="C218" s="23" t="s">
        <v>919</v>
      </c>
      <c r="D218" s="23" t="s">
        <v>42</v>
      </c>
      <c r="E218" s="23" t="s">
        <v>881</v>
      </c>
      <c r="F218" s="23" t="s">
        <v>920</v>
      </c>
      <c r="G218" s="23" t="s">
        <v>49</v>
      </c>
      <c r="H218" s="32" t="s">
        <v>45</v>
      </c>
      <c r="I218" s="23" t="s">
        <v>37</v>
      </c>
      <c r="J218" s="23" t="s">
        <v>921</v>
      </c>
      <c r="K218" s="23" t="s">
        <v>207</v>
      </c>
      <c r="L218" s="23" t="n">
        <v>8800</v>
      </c>
      <c r="M218" s="23" t="n">
        <v>1951</v>
      </c>
      <c r="N218" s="23" t="n">
        <v>6</v>
      </c>
      <c r="O218" s="23" t="n">
        <v>29</v>
      </c>
      <c r="P218" s="23" t="n">
        <v>117.24</v>
      </c>
      <c r="Q218" s="24" t="n">
        <v>21427700000000</v>
      </c>
      <c r="R218" s="23" t="n">
        <v>78.5</v>
      </c>
      <c r="S218" s="23" t="n">
        <v>9.6</v>
      </c>
      <c r="T218" s="23" t="n">
        <v>36.6</v>
      </c>
      <c r="U218" s="23" t="n">
        <v>328239523</v>
      </c>
      <c r="V218" s="33" t="n">
        <f aca="false">YEARFRAC(W218,X218,1)</f>
        <v>74.5626283367557</v>
      </c>
      <c r="W218" s="34" t="n">
        <f aca="false">DATE(M218,N218,O218)</f>
        <v>18808</v>
      </c>
      <c r="X218" s="34" t="n">
        <f aca="true">TODAY()</f>
        <v>46042</v>
      </c>
    </row>
    <row r="219" customFormat="false" ht="15" hidden="false" customHeight="false" outlineLevel="0" collapsed="false">
      <c r="A219" s="23" t="n">
        <v>223</v>
      </c>
      <c r="B219" s="23" t="s">
        <v>49</v>
      </c>
      <c r="C219" s="23" t="s">
        <v>922</v>
      </c>
      <c r="D219" s="23" t="s">
        <v>126</v>
      </c>
      <c r="E219" s="23" t="s">
        <v>173</v>
      </c>
      <c r="F219" s="23" t="s">
        <v>261</v>
      </c>
      <c r="G219" s="23" t="s">
        <v>49</v>
      </c>
      <c r="H219" s="32" t="s">
        <v>45</v>
      </c>
      <c r="I219" s="23" t="s">
        <v>37</v>
      </c>
      <c r="J219" s="23" t="s">
        <v>661</v>
      </c>
      <c r="K219" s="23" t="s">
        <v>923</v>
      </c>
      <c r="L219" s="23" t="n">
        <v>8800</v>
      </c>
      <c r="M219" s="23" t="n">
        <v>1974</v>
      </c>
      <c r="N219" s="23" t="n">
        <v>3</v>
      </c>
      <c r="O219" s="23" t="n">
        <v>10</v>
      </c>
      <c r="P219" s="23" t="n">
        <v>125.08</v>
      </c>
      <c r="Q219" s="24" t="n">
        <v>19910000000000</v>
      </c>
      <c r="R219" s="23" t="n">
        <v>77</v>
      </c>
      <c r="S219" s="23" t="n">
        <v>9.4</v>
      </c>
      <c r="T219" s="23" t="n">
        <v>59.2</v>
      </c>
      <c r="U219" s="23" t="n">
        <v>1397715000</v>
      </c>
      <c r="V219" s="33" t="n">
        <f aca="false">YEARFRAC(W219,X219,1)</f>
        <v>51.8665151358611</v>
      </c>
      <c r="W219" s="34" t="n">
        <f aca="false">DATE(M219,N219,O219)</f>
        <v>27098</v>
      </c>
      <c r="X219" s="34" t="n">
        <f aca="true">TODAY()</f>
        <v>46042</v>
      </c>
    </row>
    <row r="220" customFormat="false" ht="15" hidden="false" customHeight="false" outlineLevel="0" collapsed="false">
      <c r="A220" s="23" t="n">
        <v>223</v>
      </c>
      <c r="B220" s="23" t="s">
        <v>49</v>
      </c>
      <c r="C220" s="23" t="s">
        <v>924</v>
      </c>
      <c r="D220" s="23" t="s">
        <v>42</v>
      </c>
      <c r="E220" s="23" t="s">
        <v>854</v>
      </c>
      <c r="F220" s="23" t="s">
        <v>133</v>
      </c>
      <c r="G220" s="23" t="s">
        <v>49</v>
      </c>
      <c r="H220" s="32" t="s">
        <v>45</v>
      </c>
      <c r="I220" s="23" t="s">
        <v>37</v>
      </c>
      <c r="J220" s="23" t="s">
        <v>925</v>
      </c>
      <c r="K220" s="23" t="s">
        <v>926</v>
      </c>
      <c r="L220" s="23" t="n">
        <v>8800</v>
      </c>
      <c r="M220" s="23" t="n">
        <v>1984</v>
      </c>
      <c r="N220" s="23" t="n">
        <v>5</v>
      </c>
      <c r="O220" s="23" t="n">
        <v>22</v>
      </c>
      <c r="P220" s="23" t="n">
        <v>117.24</v>
      </c>
      <c r="Q220" s="24" t="n">
        <v>21427700000000</v>
      </c>
      <c r="R220" s="23" t="n">
        <v>78.5</v>
      </c>
      <c r="S220" s="23" t="n">
        <v>9.6</v>
      </c>
      <c r="T220" s="23" t="n">
        <v>36.6</v>
      </c>
      <c r="U220" s="23" t="n">
        <v>328239523</v>
      </c>
      <c r="V220" s="33" t="n">
        <f aca="false">YEARFRAC(W220,X220,1)</f>
        <v>41.6639500827709</v>
      </c>
      <c r="W220" s="34" t="n">
        <f aca="false">DATE(M220,N220,O220)</f>
        <v>30824</v>
      </c>
      <c r="X220" s="34" t="n">
        <f aca="true">TODAY()</f>
        <v>46042</v>
      </c>
    </row>
    <row r="221" customFormat="false" ht="15" hidden="false" customHeight="false" outlineLevel="0" collapsed="false">
      <c r="A221" s="23" t="n">
        <v>223</v>
      </c>
      <c r="B221" s="23" t="s">
        <v>49</v>
      </c>
      <c r="C221" s="23" t="s">
        <v>927</v>
      </c>
      <c r="D221" s="23" t="s">
        <v>42</v>
      </c>
      <c r="E221" s="23" t="s">
        <v>928</v>
      </c>
      <c r="F221" s="23" t="s">
        <v>929</v>
      </c>
      <c r="G221" s="23" t="s">
        <v>49</v>
      </c>
      <c r="H221" s="32" t="s">
        <v>45</v>
      </c>
      <c r="I221" s="23" t="s">
        <v>37</v>
      </c>
      <c r="J221" s="23" t="s">
        <v>930</v>
      </c>
      <c r="K221" s="23" t="s">
        <v>931</v>
      </c>
      <c r="L221" s="23" t="n">
        <v>8800</v>
      </c>
      <c r="M221" s="23" t="n">
        <v>1967</v>
      </c>
      <c r="N221" s="23" t="n">
        <v>6</v>
      </c>
      <c r="O221" s="23" t="n">
        <v>21</v>
      </c>
      <c r="P221" s="23" t="n">
        <v>117.24</v>
      </c>
      <c r="Q221" s="24" t="n">
        <v>21427700000000</v>
      </c>
      <c r="R221" s="23" t="n">
        <v>78.5</v>
      </c>
      <c r="S221" s="23" t="n">
        <v>9.6</v>
      </c>
      <c r="T221" s="23" t="n">
        <v>36.6</v>
      </c>
      <c r="U221" s="23" t="n">
        <v>328239523</v>
      </c>
      <c r="V221" s="33" t="n">
        <f aca="false">YEARFRAC(W221,X221,1)</f>
        <v>58.5845311430527</v>
      </c>
      <c r="W221" s="34" t="n">
        <f aca="false">DATE(M221,N221,O221)</f>
        <v>24644</v>
      </c>
      <c r="X221" s="34" t="n">
        <f aca="true">TODAY()</f>
        <v>46042</v>
      </c>
    </row>
    <row r="222" customFormat="false" ht="15" hidden="false" customHeight="false" outlineLevel="0" collapsed="false">
      <c r="A222" s="23" t="n">
        <v>223</v>
      </c>
      <c r="B222" s="23" t="s">
        <v>305</v>
      </c>
      <c r="C222" s="23" t="s">
        <v>932</v>
      </c>
      <c r="D222" s="23" t="s">
        <v>126</v>
      </c>
      <c r="E222" s="23" t="s">
        <v>230</v>
      </c>
      <c r="F222" s="23" t="s">
        <v>231</v>
      </c>
      <c r="G222" s="23" t="s">
        <v>305</v>
      </c>
      <c r="H222" s="32" t="s">
        <v>45</v>
      </c>
      <c r="I222" s="23" t="s">
        <v>37</v>
      </c>
      <c r="J222" s="23" t="s">
        <v>933</v>
      </c>
      <c r="K222" s="23" t="s">
        <v>934</v>
      </c>
      <c r="L222" s="23" t="n">
        <v>8800</v>
      </c>
      <c r="M222" s="23" t="n">
        <v>1959</v>
      </c>
      <c r="N222" s="23" t="n">
        <v>1</v>
      </c>
      <c r="O222" s="23" t="n">
        <v>1</v>
      </c>
      <c r="P222" s="23" t="n">
        <v>125.08</v>
      </c>
      <c r="Q222" s="24" t="n">
        <v>19910000000000</v>
      </c>
      <c r="R222" s="23" t="n">
        <v>77</v>
      </c>
      <c r="S222" s="23" t="n">
        <v>9.4</v>
      </c>
      <c r="T222" s="23" t="n">
        <v>59.2</v>
      </c>
      <c r="U222" s="23" t="n">
        <v>1397715000</v>
      </c>
      <c r="V222" s="33" t="n">
        <f aca="false">YEARFRAC(W222,X222,1)</f>
        <v>67.0527036276523</v>
      </c>
      <c r="W222" s="34" t="n">
        <f aca="false">DATE(M222,N222,O222)</f>
        <v>21551</v>
      </c>
      <c r="X222" s="34" t="n">
        <f aca="true">TODAY()</f>
        <v>46042</v>
      </c>
    </row>
    <row r="223" customFormat="false" ht="15" hidden="false" customHeight="false" outlineLevel="0" collapsed="false">
      <c r="A223" s="23" t="n">
        <v>223</v>
      </c>
      <c r="B223" s="23" t="s">
        <v>305</v>
      </c>
      <c r="C223" s="23" t="s">
        <v>935</v>
      </c>
      <c r="D223" s="23" t="s">
        <v>241</v>
      </c>
      <c r="E223" s="23" t="s">
        <v>242</v>
      </c>
      <c r="F223" s="23" t="s">
        <v>412</v>
      </c>
      <c r="G223" s="23" t="s">
        <v>305</v>
      </c>
      <c r="H223" s="32" t="s">
        <v>36</v>
      </c>
      <c r="I223" s="23" t="s">
        <v>103</v>
      </c>
      <c r="J223" s="23" t="s">
        <v>936</v>
      </c>
      <c r="K223" s="23" t="s">
        <v>937</v>
      </c>
      <c r="L223" s="23" t="n">
        <v>8800</v>
      </c>
      <c r="M223" s="23" t="n">
        <v>1951</v>
      </c>
      <c r="N223" s="23" t="n">
        <v>1</v>
      </c>
      <c r="O223" s="23" t="n">
        <v>1</v>
      </c>
      <c r="P223" s="23" t="n">
        <v>119.62</v>
      </c>
      <c r="Q223" s="24" t="n">
        <v>2827113184696</v>
      </c>
      <c r="R223" s="23" t="n">
        <v>81.3</v>
      </c>
      <c r="S223" s="23" t="n">
        <v>25.5</v>
      </c>
      <c r="T223" s="23" t="n">
        <v>30.6</v>
      </c>
      <c r="U223" s="23" t="n">
        <v>66834405</v>
      </c>
      <c r="V223" s="33" t="n">
        <f aca="false">YEARFRAC(W223,X223,1)</f>
        <v>75.0527036276523</v>
      </c>
      <c r="W223" s="34" t="n">
        <f aca="false">DATE(M223,N223,O223)</f>
        <v>18629</v>
      </c>
      <c r="X223" s="34" t="n">
        <f aca="true">TODAY()</f>
        <v>46042</v>
      </c>
    </row>
    <row r="224" customFormat="false" ht="15" hidden="false" customHeight="false" outlineLevel="0" collapsed="false">
      <c r="A224" s="23" t="n">
        <v>230</v>
      </c>
      <c r="B224" s="23" t="s">
        <v>264</v>
      </c>
      <c r="C224" s="23" t="s">
        <v>938</v>
      </c>
      <c r="D224" s="23" t="s">
        <v>126</v>
      </c>
      <c r="E224" s="23" t="s">
        <v>939</v>
      </c>
      <c r="F224" s="23" t="s">
        <v>357</v>
      </c>
      <c r="G224" s="23" t="s">
        <v>264</v>
      </c>
      <c r="H224" s="32" t="s">
        <v>45</v>
      </c>
      <c r="I224" s="23" t="s">
        <v>37</v>
      </c>
      <c r="J224" s="23" t="s">
        <v>580</v>
      </c>
      <c r="K224" s="23" t="s">
        <v>940</v>
      </c>
      <c r="L224" s="23" t="n">
        <v>8700</v>
      </c>
      <c r="M224" s="23" t="n">
        <v>1971</v>
      </c>
      <c r="N224" s="23" t="n">
        <v>1</v>
      </c>
      <c r="O224" s="23" t="n">
        <v>1</v>
      </c>
      <c r="P224" s="23" t="n">
        <v>125.08</v>
      </c>
      <c r="Q224" s="24" t="n">
        <v>19910000000000</v>
      </c>
      <c r="R224" s="23" t="n">
        <v>77</v>
      </c>
      <c r="S224" s="23" t="n">
        <v>9.4</v>
      </c>
      <c r="T224" s="23" t="n">
        <v>59.2</v>
      </c>
      <c r="U224" s="23" t="n">
        <v>1397715000</v>
      </c>
      <c r="V224" s="33" t="n">
        <f aca="false">YEARFRAC(W224,X224,1)</f>
        <v>55.0527036276523</v>
      </c>
      <c r="W224" s="34" t="n">
        <f aca="false">DATE(M224,N224,O224)</f>
        <v>25934</v>
      </c>
      <c r="X224" s="34" t="n">
        <f aca="true">TODAY()</f>
        <v>46042</v>
      </c>
    </row>
    <row r="225" customFormat="false" ht="15" hidden="false" customHeight="false" outlineLevel="0" collapsed="false">
      <c r="A225" s="23" t="n">
        <v>230</v>
      </c>
      <c r="B225" s="23" t="s">
        <v>31</v>
      </c>
      <c r="C225" s="23" t="s">
        <v>941</v>
      </c>
      <c r="D225" s="23" t="s">
        <v>178</v>
      </c>
      <c r="E225" s="23" t="s">
        <v>894</v>
      </c>
      <c r="F225" s="23" t="s">
        <v>942</v>
      </c>
      <c r="G225" s="23" t="s">
        <v>31</v>
      </c>
      <c r="H225" s="32" t="s">
        <v>36</v>
      </c>
      <c r="I225" s="23" t="s">
        <v>37</v>
      </c>
      <c r="J225" s="23" t="s">
        <v>895</v>
      </c>
      <c r="K225" s="23" t="s">
        <v>80</v>
      </c>
      <c r="L225" s="23" t="n">
        <v>8700</v>
      </c>
      <c r="M225" s="23" t="n">
        <v>1943</v>
      </c>
      <c r="N225" s="23" t="n">
        <v>4</v>
      </c>
      <c r="O225" s="23" t="n">
        <v>12</v>
      </c>
      <c r="P225" s="23" t="n">
        <v>112.85</v>
      </c>
      <c r="Q225" s="24" t="n">
        <v>3845630030824</v>
      </c>
      <c r="R225" s="23" t="n">
        <v>80.9</v>
      </c>
      <c r="S225" s="23" t="n">
        <v>11.5</v>
      </c>
      <c r="T225" s="23" t="n">
        <v>48.8</v>
      </c>
      <c r="U225" s="23" t="n">
        <v>83132799</v>
      </c>
      <c r="V225" s="33" t="n">
        <f aca="false">YEARFRAC(W225,X225,1)</f>
        <v>82.776180698152</v>
      </c>
      <c r="W225" s="34" t="n">
        <f aca="false">DATE(M225,N225,O225)</f>
        <v>15808</v>
      </c>
      <c r="X225" s="34" t="n">
        <f aca="true">TODAY()</f>
        <v>46042</v>
      </c>
    </row>
    <row r="226" customFormat="false" ht="15" hidden="false" customHeight="false" outlineLevel="0" collapsed="false">
      <c r="A226" s="23" t="n">
        <v>232</v>
      </c>
      <c r="B226" s="23" t="s">
        <v>62</v>
      </c>
      <c r="C226" s="23" t="s">
        <v>943</v>
      </c>
      <c r="D226" s="23" t="s">
        <v>42</v>
      </c>
      <c r="E226" s="23" t="s">
        <v>77</v>
      </c>
      <c r="F226" s="23" t="s">
        <v>801</v>
      </c>
      <c r="G226" s="23" t="s">
        <v>62</v>
      </c>
      <c r="H226" s="32" t="s">
        <v>45</v>
      </c>
      <c r="I226" s="23" t="s">
        <v>37</v>
      </c>
      <c r="J226" s="23" t="s">
        <v>944</v>
      </c>
      <c r="K226" s="23" t="s">
        <v>945</v>
      </c>
      <c r="L226" s="23" t="n">
        <v>8600</v>
      </c>
      <c r="M226" s="23" t="n">
        <v>1951</v>
      </c>
      <c r="N226" s="23" t="n">
        <v>7</v>
      </c>
      <c r="O226" s="23" t="n">
        <v>31</v>
      </c>
      <c r="P226" s="23" t="n">
        <v>117.24</v>
      </c>
      <c r="Q226" s="24" t="n">
        <v>21427700000000</v>
      </c>
      <c r="R226" s="23" t="n">
        <v>78.5</v>
      </c>
      <c r="S226" s="23" t="n">
        <v>9.6</v>
      </c>
      <c r="T226" s="23" t="n">
        <v>36.6</v>
      </c>
      <c r="U226" s="23" t="n">
        <v>328239523</v>
      </c>
      <c r="V226" s="33" t="n">
        <f aca="false">YEARFRAC(W226,X226,1)</f>
        <v>74.4750171115674</v>
      </c>
      <c r="W226" s="34" t="n">
        <f aca="false">DATE(M226,N226,O226)</f>
        <v>18840</v>
      </c>
      <c r="X226" s="34" t="n">
        <f aca="true">TODAY()</f>
        <v>46042</v>
      </c>
    </row>
    <row r="227" customFormat="false" ht="15" hidden="false" customHeight="false" outlineLevel="0" collapsed="false">
      <c r="A227" s="23" t="n">
        <v>232</v>
      </c>
      <c r="B227" s="23" t="s">
        <v>62</v>
      </c>
      <c r="C227" s="23" t="s">
        <v>946</v>
      </c>
      <c r="D227" s="23" t="s">
        <v>947</v>
      </c>
      <c r="E227" s="23" t="s">
        <v>948</v>
      </c>
      <c r="F227" s="23" t="s">
        <v>278</v>
      </c>
      <c r="G227" s="23" t="s">
        <v>62</v>
      </c>
      <c r="H227" s="32" t="s">
        <v>45</v>
      </c>
      <c r="I227" s="23" t="s">
        <v>37</v>
      </c>
      <c r="J227" s="23" t="s">
        <v>949</v>
      </c>
      <c r="K227" s="23" t="s">
        <v>950</v>
      </c>
      <c r="L227" s="23" t="n">
        <v>8600</v>
      </c>
      <c r="M227" s="23" t="n">
        <v>1955</v>
      </c>
      <c r="N227" s="23" t="n">
        <v>6</v>
      </c>
      <c r="O227" s="23" t="n">
        <v>6</v>
      </c>
      <c r="P227" s="23" t="n">
        <v>114.24</v>
      </c>
      <c r="Q227" s="24" t="n">
        <v>206928765544</v>
      </c>
      <c r="R227" s="23" t="n">
        <v>81.9</v>
      </c>
      <c r="S227" s="23" t="n">
        <v>29</v>
      </c>
      <c r="T227" s="23" t="n">
        <v>34.6</v>
      </c>
      <c r="U227" s="23" t="n">
        <v>4841000</v>
      </c>
      <c r="V227" s="33" t="n">
        <f aca="false">YEARFRAC(W227,X227,1)</f>
        <v>70.6255989048597</v>
      </c>
      <c r="W227" s="34" t="n">
        <f aca="false">DATE(M227,N227,O227)</f>
        <v>20246</v>
      </c>
      <c r="X227" s="34" t="n">
        <f aca="true">TODAY()</f>
        <v>46042</v>
      </c>
    </row>
    <row r="228" customFormat="false" ht="15" hidden="false" customHeight="false" outlineLevel="0" collapsed="false">
      <c r="A228" s="23" t="n">
        <v>232</v>
      </c>
      <c r="B228" s="23" t="s">
        <v>124</v>
      </c>
      <c r="C228" s="23" t="s">
        <v>951</v>
      </c>
      <c r="D228" s="23" t="s">
        <v>91</v>
      </c>
      <c r="E228" s="23" t="s">
        <v>301</v>
      </c>
      <c r="F228" s="23" t="s">
        <v>952</v>
      </c>
      <c r="G228" s="23" t="s">
        <v>124</v>
      </c>
      <c r="H228" s="32" t="s">
        <v>36</v>
      </c>
      <c r="I228" s="23" t="s">
        <v>37</v>
      </c>
      <c r="J228" s="23" t="s">
        <v>953</v>
      </c>
      <c r="K228" s="23" t="s">
        <v>954</v>
      </c>
      <c r="L228" s="23" t="n">
        <v>8600</v>
      </c>
      <c r="M228" s="23" t="n">
        <v>1954</v>
      </c>
      <c r="N228" s="23" t="n">
        <v>11</v>
      </c>
      <c r="O228" s="23" t="n">
        <v>28</v>
      </c>
      <c r="P228" s="23" t="n">
        <v>180.44</v>
      </c>
      <c r="Q228" s="24" t="n">
        <v>2611000000000</v>
      </c>
      <c r="R228" s="23" t="n">
        <v>69.4</v>
      </c>
      <c r="S228" s="23" t="n">
        <v>11.2</v>
      </c>
      <c r="T228" s="23" t="n">
        <v>49.7</v>
      </c>
      <c r="U228" s="23" t="n">
        <v>1366417754</v>
      </c>
      <c r="V228" s="33" t="n">
        <f aca="false">YEARFRAC(W228,X228,1)</f>
        <v>71.1464576379252</v>
      </c>
      <c r="W228" s="34" t="n">
        <f aca="false">DATE(M228,N228,O228)</f>
        <v>20056</v>
      </c>
      <c r="X228" s="34" t="n">
        <f aca="true">TODAY()</f>
        <v>46042</v>
      </c>
    </row>
    <row r="229" customFormat="false" ht="15" hidden="false" customHeight="false" outlineLevel="0" collapsed="false">
      <c r="A229" s="23" t="n">
        <v>232</v>
      </c>
      <c r="B229" s="23" t="s">
        <v>49</v>
      </c>
      <c r="C229" s="23" t="s">
        <v>955</v>
      </c>
      <c r="D229" s="23" t="s">
        <v>178</v>
      </c>
      <c r="E229" s="23" t="s">
        <v>956</v>
      </c>
      <c r="F229" s="23" t="s">
        <v>731</v>
      </c>
      <c r="G229" s="23" t="s">
        <v>49</v>
      </c>
      <c r="H229" s="32" t="s">
        <v>45</v>
      </c>
      <c r="I229" s="23" t="s">
        <v>37</v>
      </c>
      <c r="J229" s="23" t="s">
        <v>957</v>
      </c>
      <c r="K229" s="23" t="s">
        <v>958</v>
      </c>
      <c r="L229" s="23" t="n">
        <v>8600</v>
      </c>
      <c r="M229" s="23" t="n">
        <v>1944</v>
      </c>
      <c r="N229" s="23" t="n">
        <v>1</v>
      </c>
      <c r="O229" s="23" t="n">
        <v>21</v>
      </c>
      <c r="P229" s="23" t="n">
        <v>112.85</v>
      </c>
      <c r="Q229" s="24" t="n">
        <v>3845630030824</v>
      </c>
      <c r="R229" s="23" t="n">
        <v>80.9</v>
      </c>
      <c r="S229" s="23" t="n">
        <v>11.5</v>
      </c>
      <c r="T229" s="23" t="n">
        <v>48.8</v>
      </c>
      <c r="U229" s="23" t="n">
        <v>83132799</v>
      </c>
      <c r="V229" s="33" t="n">
        <f aca="false">YEARFRAC(W229,X229,1)</f>
        <v>81.9979548753134</v>
      </c>
      <c r="W229" s="34" t="n">
        <f aca="false">DATE(M229,N229,O229)</f>
        <v>16092</v>
      </c>
      <c r="X229" s="34" t="n">
        <f aca="true">TODAY()</f>
        <v>46042</v>
      </c>
    </row>
    <row r="230" customFormat="false" ht="15" hidden="false" customHeight="false" outlineLevel="0" collapsed="false">
      <c r="A230" s="23" t="n">
        <v>232</v>
      </c>
      <c r="B230" s="23" t="s">
        <v>124</v>
      </c>
      <c r="C230" s="23" t="s">
        <v>959</v>
      </c>
      <c r="D230" s="23" t="s">
        <v>189</v>
      </c>
      <c r="E230" s="23" t="s">
        <v>960</v>
      </c>
      <c r="F230" s="23" t="s">
        <v>520</v>
      </c>
      <c r="G230" s="23" t="s">
        <v>124</v>
      </c>
      <c r="H230" s="32" t="s">
        <v>45</v>
      </c>
      <c r="I230" s="23" t="s">
        <v>37</v>
      </c>
      <c r="J230" s="23" t="s">
        <v>961</v>
      </c>
      <c r="K230" s="23" t="s">
        <v>962</v>
      </c>
      <c r="L230" s="23" t="n">
        <v>8600</v>
      </c>
      <c r="M230" s="23" t="n">
        <v>1948</v>
      </c>
      <c r="N230" s="23" t="n">
        <v>1</v>
      </c>
      <c r="O230" s="23" t="n">
        <v>1</v>
      </c>
      <c r="P230" s="23" t="n">
        <v>99.55</v>
      </c>
      <c r="Q230" s="24" t="n">
        <v>703082435360</v>
      </c>
      <c r="R230" s="23" t="n">
        <v>83.6</v>
      </c>
      <c r="S230" s="23" t="n">
        <v>10.1</v>
      </c>
      <c r="T230" s="23" t="n">
        <v>28.8</v>
      </c>
      <c r="U230" s="23" t="n">
        <v>8574832</v>
      </c>
      <c r="V230" s="33" t="n">
        <f aca="false">YEARFRAC(W230,X230,1)</f>
        <v>78.0527118350373</v>
      </c>
      <c r="W230" s="34" t="n">
        <f aca="false">DATE(M230,N230,O230)</f>
        <v>17533</v>
      </c>
      <c r="X230" s="34" t="n">
        <f aca="true">TODAY()</f>
        <v>46042</v>
      </c>
    </row>
    <row r="231" customFormat="false" ht="15" hidden="false" customHeight="false" outlineLevel="0" collapsed="false">
      <c r="A231" s="23" t="n">
        <v>232</v>
      </c>
      <c r="B231" s="23" t="s">
        <v>471</v>
      </c>
      <c r="C231" s="23" t="s">
        <v>963</v>
      </c>
      <c r="D231" s="23" t="s">
        <v>964</v>
      </c>
      <c r="E231" s="23" t="s">
        <v>965</v>
      </c>
      <c r="F231" s="23" t="s">
        <v>474</v>
      </c>
      <c r="G231" s="23" t="s">
        <v>471</v>
      </c>
      <c r="H231" s="32" t="s">
        <v>45</v>
      </c>
      <c r="I231" s="23" t="s">
        <v>37</v>
      </c>
      <c r="J231" s="23" t="s">
        <v>966</v>
      </c>
      <c r="K231" s="23" t="s">
        <v>967</v>
      </c>
      <c r="L231" s="23" t="n">
        <v>8600</v>
      </c>
      <c r="M231" s="23" t="n">
        <v>1949</v>
      </c>
      <c r="N231" s="23" t="n">
        <v>12</v>
      </c>
      <c r="O231" s="23" t="n">
        <v>13</v>
      </c>
      <c r="P231" s="23" t="n">
        <v>129.61</v>
      </c>
      <c r="Q231" s="24" t="n">
        <v>376795508680</v>
      </c>
      <c r="R231" s="23" t="n">
        <v>71.1</v>
      </c>
      <c r="S231" s="23" t="n">
        <v>14</v>
      </c>
      <c r="T231" s="23" t="n">
        <v>43.1</v>
      </c>
      <c r="U231" s="23" t="n">
        <v>108116615</v>
      </c>
      <c r="V231" s="33" t="n">
        <f aca="false">YEARFRAC(W231,X231,1)</f>
        <v>76.1053740040016</v>
      </c>
      <c r="W231" s="34" t="n">
        <f aca="false">DATE(M231,N231,O231)</f>
        <v>18245</v>
      </c>
      <c r="X231" s="34" t="n">
        <f aca="true">TODAY()</f>
        <v>46042</v>
      </c>
    </row>
    <row r="232" customFormat="false" ht="15" hidden="false" customHeight="false" outlineLevel="0" collapsed="false">
      <c r="A232" s="23" t="n">
        <v>232</v>
      </c>
      <c r="B232" s="23" t="s">
        <v>49</v>
      </c>
      <c r="C232" s="23" t="s">
        <v>968</v>
      </c>
      <c r="D232" s="23" t="s">
        <v>42</v>
      </c>
      <c r="E232" s="23" t="s">
        <v>108</v>
      </c>
      <c r="F232" s="23" t="s">
        <v>109</v>
      </c>
      <c r="G232" s="23" t="s">
        <v>49</v>
      </c>
      <c r="H232" s="32" t="s">
        <v>45</v>
      </c>
      <c r="I232" s="23" t="s">
        <v>37</v>
      </c>
      <c r="J232" s="23" t="s">
        <v>969</v>
      </c>
      <c r="K232" s="23" t="s">
        <v>656</v>
      </c>
      <c r="L232" s="23" t="n">
        <v>8600</v>
      </c>
      <c r="M232" s="23" t="n">
        <v>1955</v>
      </c>
      <c r="N232" s="23" t="n">
        <v>9</v>
      </c>
      <c r="O232" s="23" t="n">
        <v>30</v>
      </c>
      <c r="P232" s="23" t="n">
        <v>117.24</v>
      </c>
      <c r="Q232" s="24" t="n">
        <v>21427700000000</v>
      </c>
      <c r="R232" s="23" t="n">
        <v>78.5</v>
      </c>
      <c r="S232" s="23" t="n">
        <v>9.6</v>
      </c>
      <c r="T232" s="23" t="n">
        <v>36.6</v>
      </c>
      <c r="U232" s="23" t="n">
        <v>328239523</v>
      </c>
      <c r="V232" s="33" t="n">
        <f aca="false">YEARFRAC(W232,X232,1)</f>
        <v>70.3080082135524</v>
      </c>
      <c r="W232" s="34" t="n">
        <f aca="false">DATE(M232,N232,O232)</f>
        <v>20362</v>
      </c>
      <c r="X232" s="34" t="n">
        <f aca="true">TODAY()</f>
        <v>46042</v>
      </c>
    </row>
    <row r="233" customFormat="false" ht="15" hidden="false" customHeight="false" outlineLevel="0" collapsed="false">
      <c r="A233" s="23" t="n">
        <v>239</v>
      </c>
      <c r="B233" s="23" t="s">
        <v>62</v>
      </c>
      <c r="C233" s="23" t="s">
        <v>970</v>
      </c>
      <c r="D233" s="23" t="s">
        <v>42</v>
      </c>
      <c r="E233" s="23" t="s">
        <v>77</v>
      </c>
      <c r="F233" s="23" t="s">
        <v>278</v>
      </c>
      <c r="G233" s="23" t="s">
        <v>62</v>
      </c>
      <c r="H233" s="32" t="s">
        <v>45</v>
      </c>
      <c r="I233" s="23" t="s">
        <v>37</v>
      </c>
      <c r="J233" s="23" t="s">
        <v>971</v>
      </c>
      <c r="K233" s="23" t="s">
        <v>972</v>
      </c>
      <c r="L233" s="23" t="n">
        <v>8500</v>
      </c>
      <c r="M233" s="23" t="n">
        <v>1975</v>
      </c>
      <c r="N233" s="23" t="n">
        <v>6</v>
      </c>
      <c r="O233" s="23" t="n">
        <v>21</v>
      </c>
      <c r="P233" s="23" t="n">
        <v>117.24</v>
      </c>
      <c r="Q233" s="24" t="n">
        <v>21427700000000</v>
      </c>
      <c r="R233" s="23" t="n">
        <v>78.5</v>
      </c>
      <c r="S233" s="23" t="n">
        <v>9.6</v>
      </c>
      <c r="T233" s="23" t="n">
        <v>36.6</v>
      </c>
      <c r="U233" s="23" t="n">
        <v>328239523</v>
      </c>
      <c r="V233" s="33" t="n">
        <f aca="false">YEARFRAC(W233,X233,1)</f>
        <v>50.5845311430527</v>
      </c>
      <c r="W233" s="34" t="n">
        <f aca="false">DATE(M233,N233,O233)</f>
        <v>27566</v>
      </c>
      <c r="X233" s="34" t="n">
        <f aca="true">TODAY()</f>
        <v>46042</v>
      </c>
    </row>
    <row r="234" customFormat="false" ht="15" hidden="false" customHeight="false" outlineLevel="0" collapsed="false">
      <c r="A234" s="23" t="n">
        <v>239</v>
      </c>
      <c r="B234" s="23" t="s">
        <v>31</v>
      </c>
      <c r="C234" s="23" t="s">
        <v>973</v>
      </c>
      <c r="D234" s="23" t="s">
        <v>42</v>
      </c>
      <c r="E234" s="23" t="s">
        <v>618</v>
      </c>
      <c r="F234" s="23" t="s">
        <v>145</v>
      </c>
      <c r="G234" s="23" t="s">
        <v>31</v>
      </c>
      <c r="H234" s="32" t="s">
        <v>36</v>
      </c>
      <c r="I234" s="23" t="s">
        <v>103</v>
      </c>
      <c r="J234" s="23" t="s">
        <v>620</v>
      </c>
      <c r="K234" s="23" t="s">
        <v>974</v>
      </c>
      <c r="L234" s="23" t="n">
        <v>8500</v>
      </c>
      <c r="M234" s="23" t="n">
        <v>1948</v>
      </c>
      <c r="N234" s="23" t="n">
        <v>12</v>
      </c>
      <c r="O234" s="23" t="n">
        <v>18</v>
      </c>
      <c r="P234" s="23" t="n">
        <v>117.24</v>
      </c>
      <c r="Q234" s="24" t="n">
        <v>21427700000000</v>
      </c>
      <c r="R234" s="23" t="n">
        <v>78.5</v>
      </c>
      <c r="S234" s="23" t="n">
        <v>9.6</v>
      </c>
      <c r="T234" s="23" t="n">
        <v>36.6</v>
      </c>
      <c r="U234" s="23" t="n">
        <v>328239523</v>
      </c>
      <c r="V234" s="33" t="n">
        <f aca="false">YEARFRAC(W234,X234,1)</f>
        <v>77.0889967076763</v>
      </c>
      <c r="W234" s="34" t="n">
        <f aca="false">DATE(M234,N234,O234)</f>
        <v>17885</v>
      </c>
      <c r="X234" s="34" t="n">
        <f aca="true">TODAY()</f>
        <v>46042</v>
      </c>
    </row>
    <row r="235" customFormat="false" ht="15" hidden="false" customHeight="false" outlineLevel="0" collapsed="false">
      <c r="A235" s="23" t="n">
        <v>239</v>
      </c>
      <c r="B235" s="23" t="s">
        <v>264</v>
      </c>
      <c r="C235" s="23" t="s">
        <v>975</v>
      </c>
      <c r="D235" s="23" t="s">
        <v>126</v>
      </c>
      <c r="E235" s="23" t="s">
        <v>976</v>
      </c>
      <c r="F235" s="23" t="s">
        <v>977</v>
      </c>
      <c r="G235" s="23" t="s">
        <v>264</v>
      </c>
      <c r="H235" s="32" t="s">
        <v>45</v>
      </c>
      <c r="I235" s="23" t="s">
        <v>37</v>
      </c>
      <c r="J235" s="23" t="s">
        <v>428</v>
      </c>
      <c r="K235" s="23" t="s">
        <v>978</v>
      </c>
      <c r="L235" s="23" t="n">
        <v>8500</v>
      </c>
      <c r="M235" s="23" t="n">
        <v>1968</v>
      </c>
      <c r="N235" s="23" t="n">
        <v>1</v>
      </c>
      <c r="O235" s="23" t="n">
        <v>1</v>
      </c>
      <c r="P235" s="23" t="n">
        <v>125.08</v>
      </c>
      <c r="Q235" s="24" t="n">
        <v>19910000000000</v>
      </c>
      <c r="R235" s="23" t="n">
        <v>77</v>
      </c>
      <c r="S235" s="23" t="n">
        <v>9.4</v>
      </c>
      <c r="T235" s="23" t="n">
        <v>59.2</v>
      </c>
      <c r="U235" s="23" t="n">
        <v>1397715000</v>
      </c>
      <c r="V235" s="33" t="n">
        <f aca="false">YEARFRAC(W235,X235,1)</f>
        <v>58.0527146171694</v>
      </c>
      <c r="W235" s="34" t="n">
        <f aca="false">DATE(M235,N235,O235)</f>
        <v>24838</v>
      </c>
      <c r="X235" s="34" t="n">
        <f aca="true">TODAY()</f>
        <v>46042</v>
      </c>
    </row>
    <row r="236" customFormat="false" ht="15" hidden="false" customHeight="false" outlineLevel="0" collapsed="false">
      <c r="A236" s="23" t="n">
        <v>242</v>
      </c>
      <c r="B236" s="23" t="s">
        <v>75</v>
      </c>
      <c r="C236" s="23" t="s">
        <v>979</v>
      </c>
      <c r="D236" s="23" t="s">
        <v>42</v>
      </c>
      <c r="E236" s="23" t="s">
        <v>980</v>
      </c>
      <c r="F236" s="23" t="s">
        <v>981</v>
      </c>
      <c r="G236" s="23" t="s">
        <v>75</v>
      </c>
      <c r="H236" s="32" t="s">
        <v>36</v>
      </c>
      <c r="I236" s="23" t="s">
        <v>37</v>
      </c>
      <c r="J236" s="23" t="s">
        <v>982</v>
      </c>
      <c r="K236" s="23" t="s">
        <v>147</v>
      </c>
      <c r="L236" s="23" t="n">
        <v>8400</v>
      </c>
      <c r="M236" s="23" t="n">
        <v>1947</v>
      </c>
      <c r="N236" s="23" t="n">
        <v>11</v>
      </c>
      <c r="O236" s="23" t="n">
        <v>29</v>
      </c>
      <c r="P236" s="23" t="n">
        <v>117.24</v>
      </c>
      <c r="Q236" s="24" t="n">
        <v>21427700000000</v>
      </c>
      <c r="R236" s="23" t="n">
        <v>78.5</v>
      </c>
      <c r="S236" s="23" t="n">
        <v>9.6</v>
      </c>
      <c r="T236" s="23" t="n">
        <v>36.6</v>
      </c>
      <c r="U236" s="23" t="n">
        <v>328239523</v>
      </c>
      <c r="V236" s="33" t="n">
        <f aca="false">YEARFRAC(W236,X236,1)</f>
        <v>78.1437371663244</v>
      </c>
      <c r="W236" s="34" t="n">
        <f aca="false">DATE(M236,N236,O236)</f>
        <v>17500</v>
      </c>
      <c r="X236" s="34" t="n">
        <f aca="true">TODAY()</f>
        <v>46042</v>
      </c>
    </row>
    <row r="237" customFormat="false" ht="15" hidden="false" customHeight="false" outlineLevel="0" collapsed="false">
      <c r="A237" s="23" t="n">
        <v>242</v>
      </c>
      <c r="B237" s="23" t="s">
        <v>286</v>
      </c>
      <c r="C237" s="23" t="s">
        <v>983</v>
      </c>
      <c r="D237" s="23" t="s">
        <v>688</v>
      </c>
      <c r="E237" s="23" t="s">
        <v>984</v>
      </c>
      <c r="F237" s="23" t="s">
        <v>985</v>
      </c>
      <c r="G237" s="23" t="s">
        <v>286</v>
      </c>
      <c r="H237" s="32" t="s">
        <v>36</v>
      </c>
      <c r="I237" s="23" t="s">
        <v>37</v>
      </c>
      <c r="J237" s="23" t="s">
        <v>986</v>
      </c>
      <c r="K237" s="23" t="s">
        <v>987</v>
      </c>
      <c r="L237" s="23" t="n">
        <v>8400</v>
      </c>
      <c r="M237" s="23" t="n">
        <v>1945</v>
      </c>
      <c r="N237" s="23" t="n">
        <v>6</v>
      </c>
      <c r="O237" s="23" t="n">
        <v>8</v>
      </c>
      <c r="P237" s="23" t="n">
        <v>158.93</v>
      </c>
      <c r="Q237" s="24" t="n">
        <v>351431649241</v>
      </c>
      <c r="R237" s="23" t="n">
        <v>63.9</v>
      </c>
      <c r="S237" s="23" t="n">
        <v>27.5</v>
      </c>
      <c r="T237" s="23" t="n">
        <v>29.2</v>
      </c>
      <c r="U237" s="23" t="n">
        <v>58558270</v>
      </c>
      <c r="V237" s="33" t="n">
        <f aca="false">YEARFRAC(W237,X237,1)</f>
        <v>80.6201001669449</v>
      </c>
      <c r="W237" s="34" t="n">
        <f aca="false">DATE(M237,N237,O237)</f>
        <v>16596</v>
      </c>
      <c r="X237" s="34" t="n">
        <f aca="true">TODAY()</f>
        <v>46042</v>
      </c>
    </row>
    <row r="238" customFormat="false" ht="15" hidden="false" customHeight="false" outlineLevel="0" collapsed="false">
      <c r="A238" s="23" t="n">
        <v>242</v>
      </c>
      <c r="B238" s="23" t="s">
        <v>75</v>
      </c>
      <c r="C238" s="23" t="s">
        <v>988</v>
      </c>
      <c r="D238" s="23" t="s">
        <v>288</v>
      </c>
      <c r="E238" s="23" t="s">
        <v>989</v>
      </c>
      <c r="F238" s="23" t="s">
        <v>981</v>
      </c>
      <c r="G238" s="23" t="s">
        <v>75</v>
      </c>
      <c r="H238" s="32" t="s">
        <v>36</v>
      </c>
      <c r="I238" s="23" t="s">
        <v>103</v>
      </c>
      <c r="J238" s="23" t="s">
        <v>990</v>
      </c>
      <c r="K238" s="23" t="s">
        <v>991</v>
      </c>
      <c r="L238" s="23" t="n">
        <v>8400</v>
      </c>
      <c r="M238" s="23" t="n">
        <v>1950</v>
      </c>
      <c r="N238" s="23" t="n">
        <v>5</v>
      </c>
      <c r="O238" s="23" t="n">
        <v>21</v>
      </c>
      <c r="P238" s="23" t="n">
        <v>119.8</v>
      </c>
      <c r="Q238" s="24" t="n">
        <v>1392680589329</v>
      </c>
      <c r="R238" s="23" t="n">
        <v>82.7</v>
      </c>
      <c r="S238" s="23" t="n">
        <v>23</v>
      </c>
      <c r="T238" s="23" t="n">
        <v>47.4</v>
      </c>
      <c r="U238" s="23" t="n">
        <v>25766605</v>
      </c>
      <c r="V238" s="33" t="n">
        <f aca="false">YEARFRAC(W238,X238,1)</f>
        <v>75.6693926895179</v>
      </c>
      <c r="W238" s="34" t="n">
        <f aca="false">DATE(M238,N238,O238)</f>
        <v>18404</v>
      </c>
      <c r="X238" s="34" t="n">
        <f aca="true">TODAY()</f>
        <v>46042</v>
      </c>
    </row>
    <row r="239" customFormat="false" ht="15" hidden="false" customHeight="false" outlineLevel="0" collapsed="false">
      <c r="A239" s="23" t="n">
        <v>242</v>
      </c>
      <c r="B239" s="23" t="s">
        <v>286</v>
      </c>
      <c r="C239" s="23" t="s">
        <v>992</v>
      </c>
      <c r="D239" s="23" t="s">
        <v>126</v>
      </c>
      <c r="E239" s="23" t="s">
        <v>993</v>
      </c>
      <c r="F239" s="23" t="s">
        <v>994</v>
      </c>
      <c r="G239" s="23" t="s">
        <v>286</v>
      </c>
      <c r="H239" s="32" t="s">
        <v>36</v>
      </c>
      <c r="I239" s="23" t="s">
        <v>103</v>
      </c>
      <c r="J239" s="23" t="s">
        <v>995</v>
      </c>
      <c r="K239" s="23" t="s">
        <v>996</v>
      </c>
      <c r="L239" s="23" t="n">
        <v>8400</v>
      </c>
      <c r="M239" s="23" t="n">
        <v>1946</v>
      </c>
      <c r="N239" s="23" t="n">
        <v>1</v>
      </c>
      <c r="O239" s="23" t="n">
        <v>1</v>
      </c>
      <c r="P239" s="23" t="n">
        <v>125.08</v>
      </c>
      <c r="Q239" s="24" t="n">
        <v>19910000000000</v>
      </c>
      <c r="R239" s="23" t="n">
        <v>77</v>
      </c>
      <c r="S239" s="23" t="n">
        <v>9.4</v>
      </c>
      <c r="T239" s="23" t="n">
        <v>59.2</v>
      </c>
      <c r="U239" s="23" t="n">
        <v>1397715000</v>
      </c>
      <c r="V239" s="33" t="n">
        <f aca="false">YEARFRAC(W239,X239,1)</f>
        <v>80.0526956227818</v>
      </c>
      <c r="W239" s="34" t="n">
        <f aca="false">DATE(M239,N239,O239)</f>
        <v>16803</v>
      </c>
      <c r="X239" s="34" t="n">
        <f aca="true">TODAY()</f>
        <v>46042</v>
      </c>
    </row>
    <row r="240" customFormat="false" ht="15" hidden="false" customHeight="false" outlineLevel="0" collapsed="false">
      <c r="A240" s="23" t="n">
        <v>246</v>
      </c>
      <c r="B240" s="23" t="s">
        <v>31</v>
      </c>
      <c r="C240" s="23" t="s">
        <v>997</v>
      </c>
      <c r="D240" s="23" t="s">
        <v>42</v>
      </c>
      <c r="E240" s="23" t="s">
        <v>998</v>
      </c>
      <c r="F240" s="23" t="s">
        <v>999</v>
      </c>
      <c r="G240" s="23" t="s">
        <v>31</v>
      </c>
      <c r="H240" s="32" t="s">
        <v>45</v>
      </c>
      <c r="I240" s="23" t="s">
        <v>37</v>
      </c>
      <c r="J240" s="23" t="s">
        <v>1000</v>
      </c>
      <c r="K240" s="23" t="s">
        <v>207</v>
      </c>
      <c r="L240" s="23" t="n">
        <v>8300</v>
      </c>
      <c r="M240" s="23" t="n">
        <v>1948</v>
      </c>
      <c r="N240" s="23" t="n">
        <v>3</v>
      </c>
      <c r="O240" s="23" t="n">
        <v>19</v>
      </c>
      <c r="P240" s="23" t="n">
        <v>117.24</v>
      </c>
      <c r="Q240" s="24" t="n">
        <v>21427700000000</v>
      </c>
      <c r="R240" s="23" t="n">
        <v>78.5</v>
      </c>
      <c r="S240" s="23" t="n">
        <v>9.6</v>
      </c>
      <c r="T240" s="23" t="n">
        <v>36.6</v>
      </c>
      <c r="U240" s="23" t="n">
        <v>328239523</v>
      </c>
      <c r="V240" s="33" t="n">
        <f aca="false">YEARFRAC(W240,X240,1)</f>
        <v>77.8391613238607</v>
      </c>
      <c r="W240" s="34" t="n">
        <f aca="false">DATE(M240,N240,O240)</f>
        <v>17611</v>
      </c>
      <c r="X240" s="34" t="n">
        <f aca="true">TODAY()</f>
        <v>46042</v>
      </c>
    </row>
    <row r="241" customFormat="false" ht="15" hidden="false" customHeight="false" outlineLevel="0" collapsed="false">
      <c r="A241" s="23" t="n">
        <v>249</v>
      </c>
      <c r="B241" s="23" t="s">
        <v>305</v>
      </c>
      <c r="C241" s="23" t="s">
        <v>1001</v>
      </c>
      <c r="D241" s="23" t="s">
        <v>338</v>
      </c>
      <c r="E241" s="23" t="s">
        <v>339</v>
      </c>
      <c r="F241" s="23" t="s">
        <v>623</v>
      </c>
      <c r="G241" s="23" t="s">
        <v>305</v>
      </c>
      <c r="H241" s="32" t="s">
        <v>45</v>
      </c>
      <c r="I241" s="23" t="s">
        <v>37</v>
      </c>
      <c r="J241" s="23" t="s">
        <v>640</v>
      </c>
      <c r="K241" s="23" t="s">
        <v>1002</v>
      </c>
      <c r="L241" s="23" t="n">
        <v>8200</v>
      </c>
      <c r="M241" s="23" t="n">
        <v>1961</v>
      </c>
      <c r="N241" s="23" t="n">
        <v>10</v>
      </c>
      <c r="O241" s="23" t="n">
        <v>24</v>
      </c>
      <c r="P241" s="23" t="n">
        <v>180.75</v>
      </c>
      <c r="Q241" s="24" t="n">
        <v>1699876578871</v>
      </c>
      <c r="R241" s="23" t="n">
        <v>72.7</v>
      </c>
      <c r="S241" s="23" t="n">
        <v>11.4</v>
      </c>
      <c r="T241" s="23" t="n">
        <v>46.2</v>
      </c>
      <c r="U241" s="23" t="n">
        <v>144373535</v>
      </c>
      <c r="V241" s="33" t="n">
        <f aca="false">YEARFRAC(W241,X241,1)</f>
        <v>64.2422633369286</v>
      </c>
      <c r="W241" s="34" t="n">
        <f aca="false">DATE(M241,N241,O241)</f>
        <v>22578</v>
      </c>
      <c r="X241" s="34" t="n">
        <f aca="true">TODAY()</f>
        <v>46042</v>
      </c>
    </row>
    <row r="242" customFormat="false" ht="15" hidden="false" customHeight="false" outlineLevel="0" collapsed="false">
      <c r="A242" s="23" t="n">
        <v>249</v>
      </c>
      <c r="B242" s="23" t="s">
        <v>89</v>
      </c>
      <c r="C242" s="23" t="s">
        <v>1003</v>
      </c>
      <c r="D242" s="23" t="s">
        <v>570</v>
      </c>
      <c r="E242" s="23" t="s">
        <v>571</v>
      </c>
      <c r="F242" s="23" t="s">
        <v>572</v>
      </c>
      <c r="G242" s="23" t="s">
        <v>89</v>
      </c>
      <c r="H242" s="32" t="s">
        <v>36</v>
      </c>
      <c r="I242" s="23" t="s">
        <v>37</v>
      </c>
      <c r="J242" s="23" t="s">
        <v>1004</v>
      </c>
      <c r="K242" s="23" t="s">
        <v>1005</v>
      </c>
      <c r="L242" s="23" t="n">
        <v>8200</v>
      </c>
      <c r="M242" s="23" t="n">
        <v>1960</v>
      </c>
      <c r="N242" s="23" t="n">
        <v>8</v>
      </c>
      <c r="O242" s="23" t="n">
        <v>4</v>
      </c>
      <c r="P242" s="23" t="n">
        <v>267.51</v>
      </c>
      <c r="Q242" s="24" t="n">
        <v>448120428859</v>
      </c>
      <c r="R242" s="23" t="n">
        <v>54.3</v>
      </c>
      <c r="S242" s="23" t="n">
        <v>1.5</v>
      </c>
      <c r="T242" s="23" t="n">
        <v>34.8</v>
      </c>
      <c r="U242" s="23" t="n">
        <v>200963599</v>
      </c>
      <c r="V242" s="33" t="n">
        <f aca="false">YEARFRAC(W242,X242,1)</f>
        <v>65.4613435763321</v>
      </c>
      <c r="W242" s="34" t="n">
        <f aca="false">DATE(M242,N242,O242)</f>
        <v>22132</v>
      </c>
      <c r="X242" s="34" t="n">
        <f aca="true">TODAY()</f>
        <v>46042</v>
      </c>
    </row>
    <row r="243" customFormat="false" ht="15" hidden="false" customHeight="false" outlineLevel="0" collapsed="false">
      <c r="A243" s="23" t="n">
        <v>249</v>
      </c>
      <c r="B243" s="23" t="s">
        <v>62</v>
      </c>
      <c r="C243" s="23" t="s">
        <v>1006</v>
      </c>
      <c r="D243" s="23" t="s">
        <v>42</v>
      </c>
      <c r="E243" s="23" t="s">
        <v>510</v>
      </c>
      <c r="F243" s="23" t="s">
        <v>801</v>
      </c>
      <c r="G243" s="23" t="s">
        <v>62</v>
      </c>
      <c r="H243" s="32" t="s">
        <v>45</v>
      </c>
      <c r="I243" s="23" t="s">
        <v>37</v>
      </c>
      <c r="J243" s="23" t="s">
        <v>1007</v>
      </c>
      <c r="K243" s="23" t="s">
        <v>604</v>
      </c>
      <c r="L243" s="23" t="n">
        <v>8200</v>
      </c>
      <c r="M243" s="23" t="n">
        <v>1943</v>
      </c>
      <c r="N243" s="23" t="n">
        <v>9</v>
      </c>
      <c r="O243" s="23" t="n">
        <v>14</v>
      </c>
      <c r="P243" s="23" t="n">
        <v>117.24</v>
      </c>
      <c r="Q243" s="24" t="n">
        <v>21427700000000</v>
      </c>
      <c r="R243" s="23" t="n">
        <v>78.5</v>
      </c>
      <c r="S243" s="23" t="n">
        <v>9.6</v>
      </c>
      <c r="T243" s="23" t="n">
        <v>36.6</v>
      </c>
      <c r="U243" s="23" t="n">
        <v>328239523</v>
      </c>
      <c r="V243" s="33" t="n">
        <f aca="false">YEARFRAC(W243,X243,1)</f>
        <v>82.3518138261465</v>
      </c>
      <c r="W243" s="34" t="n">
        <f aca="false">DATE(M243,N243,O243)</f>
        <v>15963</v>
      </c>
      <c r="X243" s="34" t="n">
        <f aca="true">TODAY()</f>
        <v>46042</v>
      </c>
    </row>
    <row r="244" customFormat="false" ht="15" hidden="false" customHeight="false" outlineLevel="0" collapsed="false">
      <c r="A244" s="23" t="n">
        <v>249</v>
      </c>
      <c r="B244" s="23" t="s">
        <v>471</v>
      </c>
      <c r="C244" s="23" t="s">
        <v>1008</v>
      </c>
      <c r="D244" s="23" t="s">
        <v>91</v>
      </c>
      <c r="E244" s="23" t="s">
        <v>301</v>
      </c>
      <c r="F244" s="23" t="s">
        <v>474</v>
      </c>
      <c r="G244" s="23" t="s">
        <v>471</v>
      </c>
      <c r="H244" s="32" t="s">
        <v>36</v>
      </c>
      <c r="I244" s="23" t="s">
        <v>37</v>
      </c>
      <c r="J244" s="23" t="s">
        <v>1009</v>
      </c>
      <c r="K244" s="23" t="s">
        <v>1010</v>
      </c>
      <c r="L244" s="23" t="n">
        <v>8200</v>
      </c>
      <c r="M244" s="23" t="n">
        <v>1931</v>
      </c>
      <c r="N244" s="23" t="n">
        <v>8</v>
      </c>
      <c r="O244" s="23" t="n">
        <v>15</v>
      </c>
      <c r="P244" s="23" t="n">
        <v>180.44</v>
      </c>
      <c r="Q244" s="24" t="n">
        <v>2611000000000</v>
      </c>
      <c r="R244" s="23" t="n">
        <v>69.4</v>
      </c>
      <c r="S244" s="23" t="n">
        <v>11.2</v>
      </c>
      <c r="T244" s="23" t="n">
        <v>49.7</v>
      </c>
      <c r="U244" s="23" t="n">
        <v>1366417754</v>
      </c>
      <c r="V244" s="33" t="n">
        <f aca="false">YEARFRAC(W244,X244,1)</f>
        <v>94.4339493497604</v>
      </c>
      <c r="W244" s="34" t="n">
        <f aca="false">DATE(M244,N244,O244)</f>
        <v>11550</v>
      </c>
      <c r="X244" s="34" t="n">
        <f aca="true">TODAY()</f>
        <v>46042</v>
      </c>
    </row>
    <row r="245" customFormat="false" ht="15" hidden="false" customHeight="false" outlineLevel="0" collapsed="false">
      <c r="A245" s="23" t="n">
        <v>249</v>
      </c>
      <c r="B245" s="23" t="s">
        <v>471</v>
      </c>
      <c r="C245" s="23" t="s">
        <v>1011</v>
      </c>
      <c r="D245" s="23" t="s">
        <v>126</v>
      </c>
      <c r="E245" s="23" t="s">
        <v>173</v>
      </c>
      <c r="F245" s="23" t="s">
        <v>474</v>
      </c>
      <c r="G245" s="23" t="s">
        <v>471</v>
      </c>
      <c r="H245" s="32" t="s">
        <v>45</v>
      </c>
      <c r="I245" s="23" t="s">
        <v>37</v>
      </c>
      <c r="J245" s="23" t="s">
        <v>393</v>
      </c>
      <c r="K245" s="23" t="s">
        <v>1012</v>
      </c>
      <c r="L245" s="23" t="n">
        <v>8200</v>
      </c>
      <c r="M245" s="23" t="n">
        <v>1954</v>
      </c>
      <c r="N245" s="23" t="n">
        <v>10</v>
      </c>
      <c r="O245" s="23" t="n">
        <v>1</v>
      </c>
      <c r="P245" s="23" t="n">
        <v>125.08</v>
      </c>
      <c r="Q245" s="24" t="n">
        <v>19910000000000</v>
      </c>
      <c r="R245" s="23" t="n">
        <v>77</v>
      </c>
      <c r="S245" s="23" t="n">
        <v>9.4</v>
      </c>
      <c r="T245" s="23" t="n">
        <v>59.2</v>
      </c>
      <c r="U245" s="23" t="n">
        <v>1397715000</v>
      </c>
      <c r="V245" s="33" t="n">
        <f aca="false">YEARFRAC(W245,X245,1)</f>
        <v>71.30525447249</v>
      </c>
      <c r="W245" s="34" t="n">
        <f aca="false">DATE(M245,N245,O245)</f>
        <v>19998</v>
      </c>
      <c r="X245" s="34" t="n">
        <f aca="true">TODAY()</f>
        <v>46042</v>
      </c>
    </row>
    <row r="246" customFormat="false" ht="15" hidden="false" customHeight="false" outlineLevel="0" collapsed="false">
      <c r="A246" s="23" t="n">
        <v>249</v>
      </c>
      <c r="B246" s="23" t="s">
        <v>471</v>
      </c>
      <c r="C246" s="23" t="s">
        <v>1013</v>
      </c>
      <c r="D246" s="23" t="s">
        <v>126</v>
      </c>
      <c r="E246" s="23" t="s">
        <v>346</v>
      </c>
      <c r="F246" s="23" t="s">
        <v>474</v>
      </c>
      <c r="G246" s="23" t="s">
        <v>471</v>
      </c>
      <c r="H246" s="32" t="s">
        <v>36</v>
      </c>
      <c r="I246" s="23" t="s">
        <v>103</v>
      </c>
      <c r="J246" s="23" t="s">
        <v>1014</v>
      </c>
      <c r="K246" s="23" t="s">
        <v>1015</v>
      </c>
      <c r="L246" s="23" t="n">
        <v>8200</v>
      </c>
      <c r="M246" s="23" t="n">
        <v>1981</v>
      </c>
      <c r="N246" s="23" t="n">
        <v>9</v>
      </c>
      <c r="O246" s="23" t="n">
        <v>27</v>
      </c>
      <c r="P246" s="23" t="n">
        <v>125.08</v>
      </c>
      <c r="Q246" s="24" t="n">
        <v>19910000000000</v>
      </c>
      <c r="R246" s="23" t="n">
        <v>77</v>
      </c>
      <c r="S246" s="23" t="n">
        <v>9.4</v>
      </c>
      <c r="T246" s="23" t="n">
        <v>59.2</v>
      </c>
      <c r="U246" s="23" t="n">
        <v>1397715000</v>
      </c>
      <c r="V246" s="33" t="n">
        <f aca="false">YEARFRAC(W246,X246,1)</f>
        <v>44.316171656449</v>
      </c>
      <c r="W246" s="34" t="n">
        <f aca="false">DATE(M246,N246,O246)</f>
        <v>29856</v>
      </c>
      <c r="X246" s="34" t="n">
        <f aca="true">TODAY()</f>
        <v>46042</v>
      </c>
    </row>
    <row r="247" customFormat="false" ht="15" hidden="false" customHeight="false" outlineLevel="0" collapsed="false">
      <c r="A247" s="23" t="n">
        <v>256</v>
      </c>
      <c r="B247" s="23" t="s">
        <v>89</v>
      </c>
      <c r="C247" s="23" t="s">
        <v>1016</v>
      </c>
      <c r="D247" s="23" t="s">
        <v>33</v>
      </c>
      <c r="E247" s="23" t="s">
        <v>34</v>
      </c>
      <c r="F247" s="23" t="s">
        <v>89</v>
      </c>
      <c r="G247" s="23" t="s">
        <v>89</v>
      </c>
      <c r="H247" s="32" t="s">
        <v>36</v>
      </c>
      <c r="I247" s="23" t="s">
        <v>37</v>
      </c>
      <c r="J247" s="23" t="s">
        <v>1017</v>
      </c>
      <c r="K247" s="23" t="s">
        <v>1018</v>
      </c>
      <c r="L247" s="23" t="n">
        <v>8100</v>
      </c>
      <c r="M247" s="23" t="n">
        <v>1953</v>
      </c>
      <c r="N247" s="23" t="n">
        <v>7</v>
      </c>
      <c r="O247" s="23" t="n">
        <v>7</v>
      </c>
      <c r="P247" s="23" t="n">
        <v>110.05</v>
      </c>
      <c r="Q247" s="24" t="n">
        <v>2715518274227</v>
      </c>
      <c r="R247" s="23" t="n">
        <v>82.5</v>
      </c>
      <c r="S247" s="23" t="n">
        <v>24.2</v>
      </c>
      <c r="T247" s="23" t="n">
        <v>60.7</v>
      </c>
      <c r="U247" s="23" t="n">
        <v>67059887</v>
      </c>
      <c r="V247" s="33" t="n">
        <f aca="false">YEARFRAC(W247,X247,1)</f>
        <v>72.5406985348528</v>
      </c>
      <c r="W247" s="34" t="n">
        <f aca="false">DATE(M247,N247,O247)</f>
        <v>19547</v>
      </c>
      <c r="X247" s="34" t="n">
        <f aca="true">TODAY()</f>
        <v>46042</v>
      </c>
    </row>
    <row r="248" customFormat="false" ht="15" hidden="false" customHeight="false" outlineLevel="0" collapsed="false">
      <c r="A248" s="23" t="n">
        <v>256</v>
      </c>
      <c r="B248" s="23" t="s">
        <v>89</v>
      </c>
      <c r="C248" s="23" t="s">
        <v>1019</v>
      </c>
      <c r="D248" s="23" t="s">
        <v>33</v>
      </c>
      <c r="E248" s="23" t="s">
        <v>34</v>
      </c>
      <c r="F248" s="23" t="s">
        <v>89</v>
      </c>
      <c r="G248" s="23" t="s">
        <v>89</v>
      </c>
      <c r="H248" s="32" t="s">
        <v>36</v>
      </c>
      <c r="I248" s="23" t="s">
        <v>37</v>
      </c>
      <c r="J248" s="23" t="s">
        <v>1017</v>
      </c>
      <c r="K248" s="23" t="s">
        <v>1020</v>
      </c>
      <c r="L248" s="23" t="n">
        <v>8100</v>
      </c>
      <c r="M248" s="23" t="n">
        <v>1957</v>
      </c>
      <c r="N248" s="23" t="n">
        <v>3</v>
      </c>
      <c r="O248" s="23" t="n">
        <v>26</v>
      </c>
      <c r="P248" s="23" t="n">
        <v>110.05</v>
      </c>
      <c r="Q248" s="24" t="n">
        <v>2715518274227</v>
      </c>
      <c r="R248" s="23" t="n">
        <v>82.5</v>
      </c>
      <c r="S248" s="23" t="n">
        <v>24.2</v>
      </c>
      <c r="T248" s="23" t="n">
        <v>60.7</v>
      </c>
      <c r="U248" s="23" t="n">
        <v>67059887</v>
      </c>
      <c r="V248" s="33" t="n">
        <f aca="false">YEARFRAC(W248,X248,1)</f>
        <v>68.822701138186</v>
      </c>
      <c r="W248" s="34" t="n">
        <f aca="false">DATE(M248,N248,O248)</f>
        <v>20905</v>
      </c>
      <c r="X248" s="34" t="n">
        <f aca="true">TODAY()</f>
        <v>46042</v>
      </c>
    </row>
    <row r="249" customFormat="false" ht="15" hidden="false" customHeight="false" outlineLevel="0" collapsed="false">
      <c r="A249" s="23" t="n">
        <v>256</v>
      </c>
      <c r="B249" s="23" t="s">
        <v>124</v>
      </c>
      <c r="C249" s="23" t="s">
        <v>1021</v>
      </c>
      <c r="D249" s="23" t="s">
        <v>42</v>
      </c>
      <c r="E249" s="23" t="s">
        <v>742</v>
      </c>
      <c r="F249" s="23" t="s">
        <v>1022</v>
      </c>
      <c r="G249" s="23" t="s">
        <v>124</v>
      </c>
      <c r="H249" s="32" t="s">
        <v>45</v>
      </c>
      <c r="I249" s="23" t="s">
        <v>37</v>
      </c>
      <c r="J249" s="23" t="s">
        <v>1023</v>
      </c>
      <c r="K249" s="23" t="s">
        <v>1024</v>
      </c>
      <c r="L249" s="23" t="n">
        <v>8100</v>
      </c>
      <c r="M249" s="23" t="n">
        <v>1957</v>
      </c>
      <c r="N249" s="23" t="n">
        <v>6</v>
      </c>
      <c r="O249" s="23" t="n">
        <v>25</v>
      </c>
      <c r="P249" s="23" t="n">
        <v>117.24</v>
      </c>
      <c r="Q249" s="24" t="n">
        <v>21427700000000</v>
      </c>
      <c r="R249" s="23" t="n">
        <v>78.5</v>
      </c>
      <c r="S249" s="23" t="n">
        <v>9.6</v>
      </c>
      <c r="T249" s="23" t="n">
        <v>36.6</v>
      </c>
      <c r="U249" s="23" t="n">
        <v>328239523</v>
      </c>
      <c r="V249" s="33" t="n">
        <f aca="false">YEARFRAC(W249,X249,1)</f>
        <v>68.5735518441741</v>
      </c>
      <c r="W249" s="34" t="n">
        <f aca="false">DATE(M249,N249,O249)</f>
        <v>20996</v>
      </c>
      <c r="X249" s="34" t="n">
        <f aca="true">TODAY()</f>
        <v>46042</v>
      </c>
    </row>
    <row r="250" customFormat="false" ht="15" hidden="false" customHeight="false" outlineLevel="0" collapsed="false">
      <c r="A250" s="23" t="n">
        <v>256</v>
      </c>
      <c r="B250" s="23" t="s">
        <v>89</v>
      </c>
      <c r="C250" s="23" t="s">
        <v>1025</v>
      </c>
      <c r="D250" s="23" t="s">
        <v>33</v>
      </c>
      <c r="E250" s="23" t="s">
        <v>34</v>
      </c>
      <c r="F250" s="23" t="s">
        <v>89</v>
      </c>
      <c r="G250" s="23" t="s">
        <v>89</v>
      </c>
      <c r="H250" s="32" t="s">
        <v>36</v>
      </c>
      <c r="I250" s="23" t="s">
        <v>103</v>
      </c>
      <c r="J250" s="23" t="s">
        <v>1026</v>
      </c>
      <c r="K250" s="23" t="s">
        <v>1027</v>
      </c>
      <c r="L250" s="23" t="n">
        <v>8100</v>
      </c>
      <c r="M250" s="23" t="n">
        <v>1965</v>
      </c>
      <c r="N250" s="23" t="n">
        <v>4</v>
      </c>
      <c r="O250" s="23" t="n">
        <v>4</v>
      </c>
      <c r="P250" s="23" t="n">
        <v>110.05</v>
      </c>
      <c r="Q250" s="24" t="n">
        <v>2715518274227</v>
      </c>
      <c r="R250" s="23" t="n">
        <v>82.5</v>
      </c>
      <c r="S250" s="23" t="n">
        <v>24.2</v>
      </c>
      <c r="T250" s="23" t="n">
        <v>60.7</v>
      </c>
      <c r="U250" s="23" t="n">
        <v>67059887</v>
      </c>
      <c r="V250" s="33" t="n">
        <f aca="false">YEARFRAC(W250,X250,1)</f>
        <v>60.7980569662177</v>
      </c>
      <c r="W250" s="34" t="n">
        <f aca="false">DATE(M250,N250,O250)</f>
        <v>23836</v>
      </c>
      <c r="X250" s="34" t="n">
        <f aca="true">TODAY()</f>
        <v>46042</v>
      </c>
    </row>
    <row r="251" customFormat="false" ht="15" hidden="false" customHeight="false" outlineLevel="0" collapsed="false">
      <c r="A251" s="23" t="n">
        <v>256</v>
      </c>
      <c r="B251" s="23" t="s">
        <v>213</v>
      </c>
      <c r="C251" s="23" t="s">
        <v>1028</v>
      </c>
      <c r="D251" s="23" t="s">
        <v>189</v>
      </c>
      <c r="E251" s="23" t="s">
        <v>1029</v>
      </c>
      <c r="F251" s="23" t="s">
        <v>1030</v>
      </c>
      <c r="G251" s="23" t="s">
        <v>213</v>
      </c>
      <c r="H251" s="32" t="s">
        <v>45</v>
      </c>
      <c r="I251" s="23" t="s">
        <v>37</v>
      </c>
      <c r="J251" s="23" t="s">
        <v>1031</v>
      </c>
      <c r="K251" s="23" t="s">
        <v>1032</v>
      </c>
      <c r="L251" s="23" t="n">
        <v>8100</v>
      </c>
      <c r="M251" s="23" t="n">
        <v>1969</v>
      </c>
      <c r="N251" s="23" t="n">
        <v>3</v>
      </c>
      <c r="O251" s="23" t="n">
        <v>15</v>
      </c>
      <c r="P251" s="23" t="n">
        <v>99.55</v>
      </c>
      <c r="Q251" s="24" t="n">
        <v>703082435360</v>
      </c>
      <c r="R251" s="23" t="n">
        <v>83.6</v>
      </c>
      <c r="S251" s="23" t="n">
        <v>10.1</v>
      </c>
      <c r="T251" s="23" t="n">
        <v>28.8</v>
      </c>
      <c r="U251" s="23" t="n">
        <v>8574832</v>
      </c>
      <c r="V251" s="33" t="n">
        <f aca="false">YEARFRAC(W251,X251,1)</f>
        <v>56.8528134441088</v>
      </c>
      <c r="W251" s="34" t="n">
        <f aca="false">DATE(M251,N251,O251)</f>
        <v>25277</v>
      </c>
      <c r="X251" s="34" t="n">
        <f aca="true">TODAY()</f>
        <v>46042</v>
      </c>
    </row>
    <row r="252" customFormat="false" ht="15" hidden="false" customHeight="false" outlineLevel="0" collapsed="false">
      <c r="A252" s="23" t="n">
        <v>261</v>
      </c>
      <c r="B252" s="23" t="s">
        <v>49</v>
      </c>
      <c r="C252" s="23" t="s">
        <v>1033</v>
      </c>
      <c r="D252" s="23" t="s">
        <v>42</v>
      </c>
      <c r="E252" s="23" t="s">
        <v>854</v>
      </c>
      <c r="F252" s="23" t="s">
        <v>855</v>
      </c>
      <c r="G252" s="23" t="s">
        <v>49</v>
      </c>
      <c r="H252" s="32" t="s">
        <v>45</v>
      </c>
      <c r="I252" s="23" t="s">
        <v>37</v>
      </c>
      <c r="J252" s="23" t="s">
        <v>1034</v>
      </c>
      <c r="K252" s="23" t="s">
        <v>1035</v>
      </c>
      <c r="L252" s="23" t="n">
        <v>8000</v>
      </c>
      <c r="M252" s="23" t="n">
        <v>1983</v>
      </c>
      <c r="N252" s="23" t="n">
        <v>6</v>
      </c>
      <c r="O252" s="23" t="n">
        <v>11</v>
      </c>
      <c r="P252" s="23" t="n">
        <v>117.24</v>
      </c>
      <c r="Q252" s="24" t="n">
        <v>21427700000000</v>
      </c>
      <c r="R252" s="23" t="n">
        <v>78.5</v>
      </c>
      <c r="S252" s="23" t="n">
        <v>9.6</v>
      </c>
      <c r="T252" s="23" t="n">
        <v>36.6</v>
      </c>
      <c r="U252" s="23" t="n">
        <v>328239523</v>
      </c>
      <c r="V252" s="33" t="n">
        <f aca="false">YEARFRAC(W252,X252,1)</f>
        <v>42.611909650924</v>
      </c>
      <c r="W252" s="34" t="n">
        <f aca="false">DATE(M252,N252,O252)</f>
        <v>30478</v>
      </c>
      <c r="X252" s="34" t="n">
        <f aca="true">TODAY()</f>
        <v>46042</v>
      </c>
    </row>
    <row r="253" customFormat="false" ht="15" hidden="false" customHeight="false" outlineLevel="0" collapsed="false">
      <c r="A253" s="23" t="n">
        <v>261</v>
      </c>
      <c r="B253" s="23" t="s">
        <v>305</v>
      </c>
      <c r="C253" s="23" t="s">
        <v>1036</v>
      </c>
      <c r="D253" s="23" t="s">
        <v>338</v>
      </c>
      <c r="E253" s="23" t="s">
        <v>339</v>
      </c>
      <c r="F253" s="23" t="s">
        <v>412</v>
      </c>
      <c r="G253" s="23" t="s">
        <v>305</v>
      </c>
      <c r="H253" s="32" t="s">
        <v>45</v>
      </c>
      <c r="I253" s="23" t="s">
        <v>37</v>
      </c>
      <c r="J253" s="23" t="s">
        <v>1037</v>
      </c>
      <c r="K253" s="23" t="s">
        <v>386</v>
      </c>
      <c r="L253" s="23" t="n">
        <v>8000</v>
      </c>
      <c r="M253" s="23" t="n">
        <v>1956</v>
      </c>
      <c r="N253" s="23" t="n">
        <v>4</v>
      </c>
      <c r="O253" s="23" t="n">
        <v>5</v>
      </c>
      <c r="P253" s="23" t="n">
        <v>180.75</v>
      </c>
      <c r="Q253" s="24" t="n">
        <v>1699876578871</v>
      </c>
      <c r="R253" s="23" t="n">
        <v>72.7</v>
      </c>
      <c r="S253" s="23" t="n">
        <v>11.4</v>
      </c>
      <c r="T253" s="23" t="n">
        <v>46.2</v>
      </c>
      <c r="U253" s="23" t="n">
        <v>144373535</v>
      </c>
      <c r="V253" s="33" t="n">
        <f aca="false">YEARFRAC(W253,X253,1)</f>
        <v>69.7926194424093</v>
      </c>
      <c r="W253" s="34" t="n">
        <f aca="false">DATE(M253,N253,O253)</f>
        <v>20550</v>
      </c>
      <c r="X253" s="34" t="n">
        <f aca="true">TODAY()</f>
        <v>46042</v>
      </c>
    </row>
    <row r="254" customFormat="false" ht="15" hidden="false" customHeight="false" outlineLevel="0" collapsed="false">
      <c r="A254" s="23" t="n">
        <v>261</v>
      </c>
      <c r="B254" s="23" t="s">
        <v>31</v>
      </c>
      <c r="C254" s="23" t="s">
        <v>1038</v>
      </c>
      <c r="D254" s="23" t="s">
        <v>42</v>
      </c>
      <c r="E254" s="23" t="s">
        <v>980</v>
      </c>
      <c r="F254" s="23" t="s">
        <v>1039</v>
      </c>
      <c r="G254" s="23" t="s">
        <v>31</v>
      </c>
      <c r="H254" s="32" t="s">
        <v>45</v>
      </c>
      <c r="I254" s="23" t="s">
        <v>37</v>
      </c>
      <c r="J254" s="23" t="s">
        <v>1040</v>
      </c>
      <c r="K254" s="23" t="s">
        <v>39</v>
      </c>
      <c r="L254" s="23" t="n">
        <v>8000</v>
      </c>
      <c r="M254" s="23" t="n">
        <v>1929</v>
      </c>
      <c r="N254" s="23" t="n">
        <v>5</v>
      </c>
      <c r="O254" s="23" t="n">
        <v>12</v>
      </c>
      <c r="P254" s="23" t="n">
        <v>117.24</v>
      </c>
      <c r="Q254" s="24" t="n">
        <v>21427700000000</v>
      </c>
      <c r="R254" s="23" t="n">
        <v>78.5</v>
      </c>
      <c r="S254" s="23" t="n">
        <v>9.6</v>
      </c>
      <c r="T254" s="23" t="n">
        <v>36.6</v>
      </c>
      <c r="U254" s="23" t="n">
        <v>328239523</v>
      </c>
      <c r="V254" s="33" t="n">
        <f aca="false">YEARFRAC(W254,X254,1)</f>
        <v>96.694026931888</v>
      </c>
      <c r="W254" s="34" t="n">
        <f aca="false">DATE(M254,N254,O254)</f>
        <v>10725</v>
      </c>
      <c r="X254" s="34" t="n">
        <f aca="true">TODAY()</f>
        <v>46042</v>
      </c>
    </row>
    <row r="255" customFormat="false" ht="15" hidden="false" customHeight="false" outlineLevel="0" collapsed="false">
      <c r="A255" s="23" t="n">
        <v>261</v>
      </c>
      <c r="B255" s="23" t="s">
        <v>62</v>
      </c>
      <c r="C255" s="23" t="s">
        <v>1041</v>
      </c>
      <c r="D255" s="23" t="s">
        <v>42</v>
      </c>
      <c r="E255" s="23" t="s">
        <v>1042</v>
      </c>
      <c r="F255" s="23" t="s">
        <v>1043</v>
      </c>
      <c r="G255" s="23" t="s">
        <v>62</v>
      </c>
      <c r="H255" s="32" t="s">
        <v>45</v>
      </c>
      <c r="I255" s="23" t="s">
        <v>37</v>
      </c>
      <c r="J255" s="23" t="s">
        <v>1044</v>
      </c>
      <c r="K255" s="23" t="s">
        <v>1045</v>
      </c>
      <c r="L255" s="23" t="n">
        <v>8000</v>
      </c>
      <c r="M255" s="23" t="n">
        <v>1937</v>
      </c>
      <c r="N255" s="23" t="n">
        <v>5</v>
      </c>
      <c r="O255" s="23" t="n">
        <v>15</v>
      </c>
      <c r="P255" s="23" t="n">
        <v>117.24</v>
      </c>
      <c r="Q255" s="24" t="n">
        <v>21427700000000</v>
      </c>
      <c r="R255" s="23" t="n">
        <v>78.5</v>
      </c>
      <c r="S255" s="23" t="n">
        <v>9.6</v>
      </c>
      <c r="T255" s="23" t="n">
        <v>36.6</v>
      </c>
      <c r="U255" s="23" t="n">
        <v>328239523</v>
      </c>
      <c r="V255" s="33" t="n">
        <f aca="false">YEARFRAC(W255,X255,1)</f>
        <v>88.6858116330007</v>
      </c>
      <c r="W255" s="34" t="n">
        <f aca="false">DATE(M255,N255,O255)</f>
        <v>13650</v>
      </c>
      <c r="X255" s="34" t="n">
        <f aca="true">TODAY()</f>
        <v>46042</v>
      </c>
    </row>
    <row r="256" customFormat="false" ht="15" hidden="false" customHeight="false" outlineLevel="0" collapsed="false">
      <c r="A256" s="23" t="n">
        <v>261</v>
      </c>
      <c r="B256" s="23" t="s">
        <v>62</v>
      </c>
      <c r="C256" s="23" t="s">
        <v>1046</v>
      </c>
      <c r="D256" s="23" t="s">
        <v>42</v>
      </c>
      <c r="E256" s="23" t="s">
        <v>43</v>
      </c>
      <c r="F256" s="23" t="s">
        <v>801</v>
      </c>
      <c r="G256" s="23" t="s">
        <v>62</v>
      </c>
      <c r="H256" s="32" t="s">
        <v>45</v>
      </c>
      <c r="I256" s="23" t="s">
        <v>37</v>
      </c>
      <c r="J256" s="23" t="s">
        <v>1047</v>
      </c>
      <c r="K256" s="23" t="s">
        <v>1048</v>
      </c>
      <c r="L256" s="23" t="n">
        <v>8000</v>
      </c>
      <c r="M256" s="23" t="n">
        <v>1962</v>
      </c>
      <c r="N256" s="23" t="n">
        <v>12</v>
      </c>
      <c r="O256" s="23" t="n">
        <v>1</v>
      </c>
      <c r="P256" s="23" t="n">
        <v>117.24</v>
      </c>
      <c r="Q256" s="24" t="n">
        <v>21427700000000</v>
      </c>
      <c r="R256" s="23" t="n">
        <v>78.5</v>
      </c>
      <c r="S256" s="23" t="n">
        <v>9.6</v>
      </c>
      <c r="T256" s="23" t="n">
        <v>36.6</v>
      </c>
      <c r="U256" s="23" t="n">
        <v>328239523</v>
      </c>
      <c r="V256" s="33" t="n">
        <f aca="false">YEARFRAC(W256,X256,1)</f>
        <v>63.1382418600733</v>
      </c>
      <c r="W256" s="34" t="n">
        <f aca="false">DATE(M256,N256,O256)</f>
        <v>22981</v>
      </c>
      <c r="X256" s="34" t="n">
        <f aca="true">TODAY()</f>
        <v>46042</v>
      </c>
    </row>
    <row r="257" customFormat="false" ht="15" hidden="false" customHeight="false" outlineLevel="0" collapsed="false">
      <c r="A257" s="23" t="n">
        <v>261</v>
      </c>
      <c r="B257" s="23" t="s">
        <v>286</v>
      </c>
      <c r="C257" s="23" t="s">
        <v>1049</v>
      </c>
      <c r="D257" s="23" t="s">
        <v>496</v>
      </c>
      <c r="E257" s="23" t="s">
        <v>497</v>
      </c>
      <c r="F257" s="23" t="s">
        <v>1050</v>
      </c>
      <c r="G257" s="23" t="s">
        <v>286</v>
      </c>
      <c r="H257" s="32" t="s">
        <v>45</v>
      </c>
      <c r="I257" s="23" t="s">
        <v>37</v>
      </c>
      <c r="J257" s="23" t="s">
        <v>1051</v>
      </c>
      <c r="K257" s="23" t="s">
        <v>652</v>
      </c>
      <c r="L257" s="23" t="n">
        <v>8000</v>
      </c>
      <c r="M257" s="23" t="n">
        <v>1964</v>
      </c>
      <c r="N257" s="23" t="n">
        <v>5</v>
      </c>
      <c r="O257" s="23" t="n">
        <v>15</v>
      </c>
      <c r="P257" s="23" t="n">
        <v>116.48</v>
      </c>
      <c r="Q257" s="24" t="n">
        <v>246489245495</v>
      </c>
      <c r="R257" s="23" t="n">
        <v>79</v>
      </c>
      <c r="S257" s="23" t="n">
        <v>14.9</v>
      </c>
      <c r="T257" s="23" t="n">
        <v>46.1</v>
      </c>
      <c r="U257" s="23" t="n">
        <v>10669709</v>
      </c>
      <c r="V257" s="33" t="n">
        <f aca="false">YEARFRAC(W257,X257,1)</f>
        <v>61.683108078745</v>
      </c>
      <c r="W257" s="34" t="n">
        <f aca="false">DATE(M257,N257,O257)</f>
        <v>23512</v>
      </c>
      <c r="X257" s="34" t="n">
        <f aca="true">TODAY()</f>
        <v>46042</v>
      </c>
    </row>
    <row r="258" customFormat="false" ht="15" hidden="false" customHeight="false" outlineLevel="0" collapsed="false">
      <c r="A258" s="23" t="n">
        <v>268</v>
      </c>
      <c r="B258" s="23" t="s">
        <v>62</v>
      </c>
      <c r="C258" s="23" t="s">
        <v>1052</v>
      </c>
      <c r="D258" s="23" t="s">
        <v>42</v>
      </c>
      <c r="E258" s="23" t="s">
        <v>1053</v>
      </c>
      <c r="F258" s="23" t="s">
        <v>801</v>
      </c>
      <c r="G258" s="23" t="s">
        <v>62</v>
      </c>
      <c r="H258" s="32" t="s">
        <v>45</v>
      </c>
      <c r="I258" s="23" t="s">
        <v>37</v>
      </c>
      <c r="J258" s="23" t="s">
        <v>1054</v>
      </c>
      <c r="K258" s="23" t="s">
        <v>1055</v>
      </c>
      <c r="L258" s="23" t="n">
        <v>7900</v>
      </c>
      <c r="M258" s="23" t="n">
        <v>1970</v>
      </c>
      <c r="N258" s="23" t="n">
        <v>9</v>
      </c>
      <c r="O258" s="23" t="n">
        <v>23</v>
      </c>
      <c r="P258" s="23" t="n">
        <v>117.24</v>
      </c>
      <c r="Q258" s="24" t="n">
        <v>21427700000000</v>
      </c>
      <c r="R258" s="23" t="n">
        <v>78.5</v>
      </c>
      <c r="S258" s="23" t="n">
        <v>9.6</v>
      </c>
      <c r="T258" s="23" t="n">
        <v>36.6</v>
      </c>
      <c r="U258" s="23" t="n">
        <v>328239523</v>
      </c>
      <c r="V258" s="33" t="n">
        <f aca="false">YEARFRAC(W258,X258,1)</f>
        <v>55.32715308132</v>
      </c>
      <c r="W258" s="34" t="n">
        <f aca="false">DATE(M258,N258,O258)</f>
        <v>25834</v>
      </c>
      <c r="X258" s="34" t="n">
        <f aca="true">TODAY()</f>
        <v>46042</v>
      </c>
    </row>
    <row r="259" customFormat="false" ht="15" hidden="false" customHeight="false" outlineLevel="0" collapsed="false">
      <c r="A259" s="23" t="n">
        <v>268</v>
      </c>
      <c r="B259" s="23" t="s">
        <v>31</v>
      </c>
      <c r="C259" s="23" t="s">
        <v>1056</v>
      </c>
      <c r="D259" s="23" t="s">
        <v>126</v>
      </c>
      <c r="E259" s="23" t="s">
        <v>1057</v>
      </c>
      <c r="F259" s="23" t="s">
        <v>1058</v>
      </c>
      <c r="G259" s="23" t="s">
        <v>31</v>
      </c>
      <c r="H259" s="32" t="s">
        <v>45</v>
      </c>
      <c r="I259" s="23" t="s">
        <v>37</v>
      </c>
      <c r="J259" s="23" t="s">
        <v>295</v>
      </c>
      <c r="K259" s="23" t="s">
        <v>1059</v>
      </c>
      <c r="L259" s="23" t="n">
        <v>7900</v>
      </c>
      <c r="M259" s="23" t="n">
        <v>1970</v>
      </c>
      <c r="N259" s="23" t="n">
        <v>12</v>
      </c>
      <c r="O259" s="23" t="n">
        <v>1</v>
      </c>
      <c r="P259" s="23" t="n">
        <v>125.08</v>
      </c>
      <c r="Q259" s="24" t="n">
        <v>19910000000000</v>
      </c>
      <c r="R259" s="23" t="n">
        <v>77</v>
      </c>
      <c r="S259" s="23" t="n">
        <v>9.4</v>
      </c>
      <c r="T259" s="23" t="n">
        <v>59.2</v>
      </c>
      <c r="U259" s="23" t="n">
        <v>1397715000</v>
      </c>
      <c r="V259" s="33" t="n">
        <f aca="false">YEARFRAC(W259,X259,1)</f>
        <v>55.1382391085067</v>
      </c>
      <c r="W259" s="34" t="n">
        <f aca="false">DATE(M259,N259,O259)</f>
        <v>25903</v>
      </c>
      <c r="X259" s="34" t="n">
        <f aca="true">TODAY()</f>
        <v>46042</v>
      </c>
    </row>
    <row r="260" customFormat="false" ht="15" hidden="false" customHeight="false" outlineLevel="0" collapsed="false">
      <c r="A260" s="23" t="n">
        <v>268</v>
      </c>
      <c r="B260" s="23" t="s">
        <v>31</v>
      </c>
      <c r="C260" s="23" t="s">
        <v>1060</v>
      </c>
      <c r="D260" s="23" t="s">
        <v>42</v>
      </c>
      <c r="E260" s="23" t="s">
        <v>1061</v>
      </c>
      <c r="F260" s="23" t="s">
        <v>145</v>
      </c>
      <c r="G260" s="23" t="s">
        <v>31</v>
      </c>
      <c r="H260" s="32" t="s">
        <v>36</v>
      </c>
      <c r="I260" s="23" t="s">
        <v>103</v>
      </c>
      <c r="J260" s="23" t="s">
        <v>1062</v>
      </c>
      <c r="K260" s="23" t="s">
        <v>1063</v>
      </c>
      <c r="L260" s="23" t="n">
        <v>7900</v>
      </c>
      <c r="M260" s="23" t="n">
        <v>1951</v>
      </c>
      <c r="N260" s="23" t="n">
        <v>5</v>
      </c>
      <c r="O260" s="23" t="n">
        <v>15</v>
      </c>
      <c r="P260" s="23" t="n">
        <v>117.24</v>
      </c>
      <c r="Q260" s="24" t="n">
        <v>21427700000000</v>
      </c>
      <c r="R260" s="23" t="n">
        <v>78.5</v>
      </c>
      <c r="S260" s="23" t="n">
        <v>9.6</v>
      </c>
      <c r="T260" s="23" t="n">
        <v>36.6</v>
      </c>
      <c r="U260" s="23" t="n">
        <v>328239523</v>
      </c>
      <c r="V260" s="33" t="n">
        <f aca="false">YEARFRAC(W260,X260,1)</f>
        <v>74.6858316221766</v>
      </c>
      <c r="W260" s="34" t="n">
        <f aca="false">DATE(M260,N260,O260)</f>
        <v>18763</v>
      </c>
      <c r="X260" s="34" t="n">
        <f aca="true">TODAY()</f>
        <v>46042</v>
      </c>
    </row>
    <row r="261" customFormat="false" ht="15" hidden="false" customHeight="false" outlineLevel="0" collapsed="false">
      <c r="A261" s="23" t="n">
        <v>268</v>
      </c>
      <c r="B261" s="23" t="s">
        <v>49</v>
      </c>
      <c r="C261" s="23" t="s">
        <v>1064</v>
      </c>
      <c r="D261" s="23" t="s">
        <v>799</v>
      </c>
      <c r="E261" s="23" t="s">
        <v>800</v>
      </c>
      <c r="F261" s="23" t="s">
        <v>1065</v>
      </c>
      <c r="G261" s="23" t="s">
        <v>49</v>
      </c>
      <c r="H261" s="32" t="s">
        <v>36</v>
      </c>
      <c r="I261" s="23" t="s">
        <v>37</v>
      </c>
      <c r="J261" s="23" t="s">
        <v>1066</v>
      </c>
      <c r="K261" s="23" t="s">
        <v>1067</v>
      </c>
      <c r="L261" s="23" t="n">
        <v>7900</v>
      </c>
      <c r="M261" s="23" t="n">
        <v>1968</v>
      </c>
      <c r="N261" s="23" t="n">
        <v>6</v>
      </c>
      <c r="O261" s="23" t="n">
        <v>23</v>
      </c>
      <c r="P261" s="23" t="n">
        <v>115.16</v>
      </c>
      <c r="Q261" s="24" t="n">
        <v>2029000000000</v>
      </c>
      <c r="R261" s="23" t="n">
        <v>82.6</v>
      </c>
      <c r="S261" s="23" t="n">
        <v>15.6</v>
      </c>
      <c r="T261" s="23" t="n">
        <v>33.2</v>
      </c>
      <c r="U261" s="23" t="n">
        <v>51709098</v>
      </c>
      <c r="V261" s="33" t="n">
        <f aca="false">YEARFRAC(W261,X261,1)</f>
        <v>57.5763341067285</v>
      </c>
      <c r="W261" s="34" t="n">
        <f aca="false">DATE(M261,N261,O261)</f>
        <v>25012</v>
      </c>
      <c r="X261" s="34" t="n">
        <f aca="true">TODAY()</f>
        <v>46042</v>
      </c>
    </row>
    <row r="262" customFormat="false" ht="15" hidden="false" customHeight="false" outlineLevel="0" collapsed="false">
      <c r="A262" s="23" t="n">
        <v>268</v>
      </c>
      <c r="B262" s="23" t="s">
        <v>62</v>
      </c>
      <c r="C262" s="23" t="s">
        <v>1068</v>
      </c>
      <c r="D262" s="23" t="s">
        <v>42</v>
      </c>
      <c r="E262" s="23" t="s">
        <v>77</v>
      </c>
      <c r="F262" s="23" t="s">
        <v>801</v>
      </c>
      <c r="G262" s="23" t="s">
        <v>62</v>
      </c>
      <c r="H262" s="32" t="s">
        <v>45</v>
      </c>
      <c r="I262" s="23" t="s">
        <v>37</v>
      </c>
      <c r="J262" s="23" t="s">
        <v>1069</v>
      </c>
      <c r="K262" s="23" t="s">
        <v>1070</v>
      </c>
      <c r="L262" s="23" t="n">
        <v>7900</v>
      </c>
      <c r="M262" s="23" t="n">
        <v>1968</v>
      </c>
      <c r="N262" s="23" t="n">
        <v>9</v>
      </c>
      <c r="O262" s="23" t="n">
        <v>17</v>
      </c>
      <c r="P262" s="23" t="n">
        <v>117.24</v>
      </c>
      <c r="Q262" s="24" t="n">
        <v>21427700000000</v>
      </c>
      <c r="R262" s="23" t="n">
        <v>78.5</v>
      </c>
      <c r="S262" s="23" t="n">
        <v>9.6</v>
      </c>
      <c r="T262" s="23" t="n">
        <v>36.6</v>
      </c>
      <c r="U262" s="23" t="n">
        <v>328239523</v>
      </c>
      <c r="V262" s="33" t="n">
        <f aca="false">YEARFRAC(W262,X262,1)</f>
        <v>57.3408816705336</v>
      </c>
      <c r="W262" s="34" t="n">
        <f aca="false">DATE(M262,N262,O262)</f>
        <v>25098</v>
      </c>
      <c r="X262" s="34" t="n">
        <f aca="true">TODAY()</f>
        <v>46042</v>
      </c>
    </row>
    <row r="263" customFormat="false" ht="15" hidden="false" customHeight="false" outlineLevel="0" collapsed="false">
      <c r="A263" s="23" t="n">
        <v>268</v>
      </c>
      <c r="B263" s="23" t="s">
        <v>62</v>
      </c>
      <c r="C263" s="23" t="s">
        <v>1071</v>
      </c>
      <c r="D263" s="23" t="s">
        <v>42</v>
      </c>
      <c r="E263" s="23" t="s">
        <v>77</v>
      </c>
      <c r="F263" s="23" t="s">
        <v>221</v>
      </c>
      <c r="G263" s="23" t="s">
        <v>62</v>
      </c>
      <c r="H263" s="32" t="s">
        <v>45</v>
      </c>
      <c r="I263" s="23" t="s">
        <v>37</v>
      </c>
      <c r="J263" s="23" t="s">
        <v>1072</v>
      </c>
      <c r="K263" s="23" t="s">
        <v>158</v>
      </c>
      <c r="L263" s="23" t="n">
        <v>7900</v>
      </c>
      <c r="M263" s="23" t="n">
        <v>1951</v>
      </c>
      <c r="N263" s="23" t="n">
        <v>3</v>
      </c>
      <c r="O263" s="23" t="n">
        <v>29</v>
      </c>
      <c r="P263" s="23" t="n">
        <v>117.24</v>
      </c>
      <c r="Q263" s="24" t="n">
        <v>21427700000000</v>
      </c>
      <c r="R263" s="23" t="n">
        <v>78.5</v>
      </c>
      <c r="S263" s="23" t="n">
        <v>9.6</v>
      </c>
      <c r="T263" s="23" t="n">
        <v>36.6</v>
      </c>
      <c r="U263" s="23" t="n">
        <v>328239523</v>
      </c>
      <c r="V263" s="33" t="n">
        <f aca="false">YEARFRAC(W263,X263,1)</f>
        <v>74.8145106091718</v>
      </c>
      <c r="W263" s="34" t="n">
        <f aca="false">DATE(M263,N263,O263)</f>
        <v>18716</v>
      </c>
      <c r="X263" s="34" t="n">
        <f aca="true">TODAY()</f>
        <v>46042</v>
      </c>
    </row>
    <row r="264" customFormat="false" ht="15" hidden="false" customHeight="false" outlineLevel="0" collapsed="false">
      <c r="A264" s="23" t="n">
        <v>268</v>
      </c>
      <c r="B264" s="23" t="s">
        <v>286</v>
      </c>
      <c r="C264" s="23" t="s">
        <v>1073</v>
      </c>
      <c r="D264" s="23" t="s">
        <v>338</v>
      </c>
      <c r="E264" s="23" t="s">
        <v>339</v>
      </c>
      <c r="F264" s="23" t="s">
        <v>1074</v>
      </c>
      <c r="G264" s="23" t="s">
        <v>286</v>
      </c>
      <c r="H264" s="32" t="s">
        <v>45</v>
      </c>
      <c r="I264" s="23" t="s">
        <v>37</v>
      </c>
      <c r="J264" s="23" t="s">
        <v>1075</v>
      </c>
      <c r="K264" s="23" t="s">
        <v>797</v>
      </c>
      <c r="L264" s="23" t="n">
        <v>7900</v>
      </c>
      <c r="M264" s="23" t="n">
        <v>1966</v>
      </c>
      <c r="N264" s="23" t="n">
        <v>1</v>
      </c>
      <c r="O264" s="23" t="n">
        <v>30</v>
      </c>
      <c r="P264" s="23" t="n">
        <v>180.75</v>
      </c>
      <c r="Q264" s="24" t="n">
        <v>1699876578871</v>
      </c>
      <c r="R264" s="23" t="n">
        <v>72.7</v>
      </c>
      <c r="S264" s="23" t="n">
        <v>11.4</v>
      </c>
      <c r="T264" s="23" t="n">
        <v>46.2</v>
      </c>
      <c r="U264" s="23" t="n">
        <v>144373535</v>
      </c>
      <c r="V264" s="33" t="n">
        <f aca="false">YEARFRAC(W264,X264,1)</f>
        <v>59.9732944344704</v>
      </c>
      <c r="W264" s="34" t="n">
        <f aca="false">DATE(M264,N264,O264)</f>
        <v>24137</v>
      </c>
      <c r="X264" s="34" t="n">
        <f aca="true">TODAY()</f>
        <v>46042</v>
      </c>
    </row>
    <row r="265" customFormat="false" ht="15" hidden="false" customHeight="false" outlineLevel="0" collapsed="false">
      <c r="A265" s="23" t="n">
        <v>268</v>
      </c>
      <c r="B265" s="23" t="s">
        <v>89</v>
      </c>
      <c r="C265" s="23" t="s">
        <v>1076</v>
      </c>
      <c r="D265" s="23" t="s">
        <v>225</v>
      </c>
      <c r="E265" s="23" t="s">
        <v>1077</v>
      </c>
      <c r="F265" s="23" t="s">
        <v>1078</v>
      </c>
      <c r="G265" s="23" t="s">
        <v>89</v>
      </c>
      <c r="H265" s="32" t="s">
        <v>45</v>
      </c>
      <c r="I265" s="23" t="s">
        <v>37</v>
      </c>
      <c r="J265" s="23" t="s">
        <v>1079</v>
      </c>
      <c r="K265" s="23" t="s">
        <v>755</v>
      </c>
      <c r="L265" s="23" t="n">
        <v>7900</v>
      </c>
      <c r="M265" s="23" t="n">
        <v>1972</v>
      </c>
      <c r="N265" s="23" t="n">
        <v>9</v>
      </c>
      <c r="O265" s="23" t="n">
        <v>14</v>
      </c>
      <c r="P265" s="23" t="n">
        <v>118.06</v>
      </c>
      <c r="Q265" s="24" t="n">
        <v>446314739528</v>
      </c>
      <c r="R265" s="23" t="n">
        <v>81.6</v>
      </c>
      <c r="S265" s="23" t="n">
        <v>25.4</v>
      </c>
      <c r="T265" s="23" t="n">
        <v>51.4</v>
      </c>
      <c r="U265" s="23" t="n">
        <v>8877067</v>
      </c>
      <c r="V265" s="33" t="n">
        <f aca="false">YEARFRAC(W265,X265,1)</f>
        <v>53.3490965204839</v>
      </c>
      <c r="W265" s="34" t="n">
        <f aca="false">DATE(M265,N265,O265)</f>
        <v>26556</v>
      </c>
      <c r="X265" s="34" t="n">
        <f aca="true">TODAY()</f>
        <v>46042</v>
      </c>
    </row>
    <row r="266" customFormat="false" ht="15" hidden="false" customHeight="false" outlineLevel="0" collapsed="false">
      <c r="A266" s="23" t="n">
        <v>276</v>
      </c>
      <c r="B266" s="23" t="s">
        <v>82</v>
      </c>
      <c r="C266" s="23" t="s">
        <v>1080</v>
      </c>
      <c r="D266" s="23" t="s">
        <v>42</v>
      </c>
      <c r="E266" s="23" t="s">
        <v>1081</v>
      </c>
      <c r="F266" s="23" t="s">
        <v>82</v>
      </c>
      <c r="G266" s="23" t="s">
        <v>82</v>
      </c>
      <c r="H266" s="32" t="s">
        <v>45</v>
      </c>
      <c r="I266" s="23" t="s">
        <v>37</v>
      </c>
      <c r="J266" s="23" t="s">
        <v>1082</v>
      </c>
      <c r="K266" s="23" t="s">
        <v>1083</v>
      </c>
      <c r="L266" s="23" t="n">
        <v>7800</v>
      </c>
      <c r="M266" s="23" t="n">
        <v>1949</v>
      </c>
      <c r="N266" s="23" t="n">
        <v>11</v>
      </c>
      <c r="O266" s="23" t="n">
        <v>25</v>
      </c>
      <c r="P266" s="23" t="n">
        <v>117.24</v>
      </c>
      <c r="Q266" s="24" t="n">
        <v>21427700000000</v>
      </c>
      <c r="R266" s="23" t="n">
        <v>78.5</v>
      </c>
      <c r="S266" s="23" t="n">
        <v>9.6</v>
      </c>
      <c r="T266" s="23" t="n">
        <v>36.6</v>
      </c>
      <c r="U266" s="23" t="n">
        <v>328239523</v>
      </c>
      <c r="V266" s="33" t="n">
        <f aca="false">YEARFRAC(W266,X266,1)</f>
        <v>76.1546561830882</v>
      </c>
      <c r="W266" s="34" t="n">
        <f aca="false">DATE(M266,N266,O266)</f>
        <v>18227</v>
      </c>
      <c r="X266" s="34" t="n">
        <f aca="true">TODAY()</f>
        <v>46042</v>
      </c>
    </row>
    <row r="267" customFormat="false" ht="15" hidden="false" customHeight="false" outlineLevel="0" collapsed="false">
      <c r="A267" s="23" t="n">
        <v>276</v>
      </c>
      <c r="B267" s="23" t="s">
        <v>264</v>
      </c>
      <c r="C267" s="23" t="s">
        <v>1084</v>
      </c>
      <c r="D267" s="23" t="s">
        <v>126</v>
      </c>
      <c r="E267" s="23" t="s">
        <v>127</v>
      </c>
      <c r="F267" s="23" t="s">
        <v>1085</v>
      </c>
      <c r="G267" s="23" t="s">
        <v>264</v>
      </c>
      <c r="H267" s="32" t="s">
        <v>45</v>
      </c>
      <c r="I267" s="23" t="s">
        <v>37</v>
      </c>
      <c r="J267" s="23" t="s">
        <v>428</v>
      </c>
      <c r="K267" s="23" t="s">
        <v>1086</v>
      </c>
      <c r="L267" s="23" t="n">
        <v>7800</v>
      </c>
      <c r="M267" s="23" t="n">
        <v>1956</v>
      </c>
      <c r="N267" s="23" t="n">
        <v>7</v>
      </c>
      <c r="O267" s="23" t="n">
        <v>1</v>
      </c>
      <c r="P267" s="23" t="n">
        <v>125.08</v>
      </c>
      <c r="Q267" s="24" t="n">
        <v>19910000000000</v>
      </c>
      <c r="R267" s="23" t="n">
        <v>77</v>
      </c>
      <c r="S267" s="23" t="n">
        <v>9.4</v>
      </c>
      <c r="T267" s="23" t="n">
        <v>59.2</v>
      </c>
      <c r="U267" s="23" t="n">
        <v>1397715000</v>
      </c>
      <c r="V267" s="33" t="n">
        <f aca="false">YEARFRAC(W267,X267,1)</f>
        <v>69.5544287201635</v>
      </c>
      <c r="W267" s="34" t="n">
        <f aca="false">DATE(M267,N267,O267)</f>
        <v>20637</v>
      </c>
      <c r="X267" s="34" t="n">
        <f aca="true">TODAY()</f>
        <v>46042</v>
      </c>
    </row>
    <row r="268" customFormat="false" ht="15" hidden="false" customHeight="false" outlineLevel="0" collapsed="false">
      <c r="A268" s="23" t="n">
        <v>276</v>
      </c>
      <c r="B268" s="23" t="s">
        <v>49</v>
      </c>
      <c r="C268" s="23" t="s">
        <v>1087</v>
      </c>
      <c r="D268" s="23" t="s">
        <v>126</v>
      </c>
      <c r="E268" s="23" t="s">
        <v>260</v>
      </c>
      <c r="F268" s="23" t="s">
        <v>1088</v>
      </c>
      <c r="G268" s="23" t="s">
        <v>49</v>
      </c>
      <c r="H268" s="32" t="s">
        <v>45</v>
      </c>
      <c r="I268" s="23" t="s">
        <v>37</v>
      </c>
      <c r="J268" s="23" t="s">
        <v>1089</v>
      </c>
      <c r="K268" s="23" t="s">
        <v>1090</v>
      </c>
      <c r="L268" s="23" t="n">
        <v>7800</v>
      </c>
      <c r="M268" s="23" t="n">
        <v>1970</v>
      </c>
      <c r="N268" s="23" t="n">
        <v>1</v>
      </c>
      <c r="O268" s="23" t="n">
        <v>3</v>
      </c>
      <c r="P268" s="23" t="n">
        <v>125.08</v>
      </c>
      <c r="Q268" s="24" t="n">
        <v>19910000000000</v>
      </c>
      <c r="R268" s="23" t="n">
        <v>77</v>
      </c>
      <c r="S268" s="23" t="n">
        <v>9.4</v>
      </c>
      <c r="T268" s="23" t="n">
        <v>59.2</v>
      </c>
      <c r="U268" s="23" t="n">
        <v>1397715000</v>
      </c>
      <c r="V268" s="33" t="n">
        <f aca="false">YEARFRAC(W268,X268,1)</f>
        <v>56.0472164849416</v>
      </c>
      <c r="W268" s="34" t="n">
        <f aca="false">DATE(M268,N268,O268)</f>
        <v>25571</v>
      </c>
      <c r="X268" s="34" t="n">
        <f aca="true">TODAY()</f>
        <v>46042</v>
      </c>
    </row>
    <row r="269" customFormat="false" ht="15" hidden="false" customHeight="false" outlineLevel="0" collapsed="false">
      <c r="A269" s="23" t="n">
        <v>276</v>
      </c>
      <c r="B269" s="23" t="s">
        <v>264</v>
      </c>
      <c r="C269" s="23" t="s">
        <v>1091</v>
      </c>
      <c r="D269" s="23" t="s">
        <v>126</v>
      </c>
      <c r="E269" s="23" t="s">
        <v>606</v>
      </c>
      <c r="F269" s="23" t="s">
        <v>1092</v>
      </c>
      <c r="G269" s="23" t="s">
        <v>264</v>
      </c>
      <c r="H269" s="32" t="s">
        <v>45</v>
      </c>
      <c r="I269" s="23" t="s">
        <v>37</v>
      </c>
      <c r="J269" s="23" t="s">
        <v>1093</v>
      </c>
      <c r="K269" s="23" t="s">
        <v>1094</v>
      </c>
      <c r="L269" s="23" t="n">
        <v>7800</v>
      </c>
      <c r="M269" s="23" t="n">
        <v>1964</v>
      </c>
      <c r="N269" s="23" t="n">
        <v>8</v>
      </c>
      <c r="O269" s="23" t="n">
        <v>1</v>
      </c>
      <c r="P269" s="23" t="n">
        <v>125.08</v>
      </c>
      <c r="Q269" s="24" t="n">
        <v>19910000000000</v>
      </c>
      <c r="R269" s="23" t="n">
        <v>77</v>
      </c>
      <c r="S269" s="23" t="n">
        <v>9.4</v>
      </c>
      <c r="T269" s="23" t="n">
        <v>59.2</v>
      </c>
      <c r="U269" s="23" t="n">
        <v>1397715000</v>
      </c>
      <c r="V269" s="33" t="n">
        <f aca="false">YEARFRAC(W269,X269,1)</f>
        <v>61.4695580374603</v>
      </c>
      <c r="W269" s="34" t="n">
        <f aca="false">DATE(M269,N269,O269)</f>
        <v>23590</v>
      </c>
      <c r="X269" s="34" t="n">
        <f aca="true">TODAY()</f>
        <v>46042</v>
      </c>
    </row>
    <row r="270" customFormat="false" ht="15" hidden="false" customHeight="false" outlineLevel="0" collapsed="false">
      <c r="A270" s="23" t="n">
        <v>282</v>
      </c>
      <c r="B270" s="23" t="s">
        <v>124</v>
      </c>
      <c r="C270" s="23" t="s">
        <v>1095</v>
      </c>
      <c r="D270" s="23" t="s">
        <v>33</v>
      </c>
      <c r="E270" s="23" t="s">
        <v>374</v>
      </c>
      <c r="F270" s="23" t="s">
        <v>375</v>
      </c>
      <c r="G270" s="23" t="s">
        <v>124</v>
      </c>
      <c r="H270" s="32" t="s">
        <v>36</v>
      </c>
      <c r="I270" s="23" t="s">
        <v>37</v>
      </c>
      <c r="J270" s="23" t="s">
        <v>376</v>
      </c>
      <c r="K270" s="23" t="s">
        <v>1096</v>
      </c>
      <c r="L270" s="23" t="n">
        <v>7700</v>
      </c>
      <c r="M270" s="23" t="n">
        <v>1967</v>
      </c>
      <c r="N270" s="23" t="n">
        <v>6</v>
      </c>
      <c r="O270" s="23" t="n">
        <v>5</v>
      </c>
      <c r="P270" s="23" t="n">
        <v>110.05</v>
      </c>
      <c r="Q270" s="24" t="n">
        <v>2715518274227</v>
      </c>
      <c r="R270" s="23" t="n">
        <v>82.5</v>
      </c>
      <c r="S270" s="23" t="n">
        <v>24.2</v>
      </c>
      <c r="T270" s="23" t="n">
        <v>60.7</v>
      </c>
      <c r="U270" s="23" t="n">
        <v>67059887</v>
      </c>
      <c r="V270" s="33" t="n">
        <f aca="false">YEARFRAC(W270,X270,1)</f>
        <v>58.6283367556468</v>
      </c>
      <c r="W270" s="34" t="n">
        <f aca="false">DATE(M270,N270,O270)</f>
        <v>24628</v>
      </c>
      <c r="X270" s="34" t="n">
        <f aca="true">TODAY()</f>
        <v>46042</v>
      </c>
    </row>
    <row r="271" customFormat="false" ht="15" hidden="false" customHeight="false" outlineLevel="0" collapsed="false">
      <c r="A271" s="23" t="n">
        <v>282</v>
      </c>
      <c r="B271" s="23" t="s">
        <v>124</v>
      </c>
      <c r="C271" s="23" t="s">
        <v>1097</v>
      </c>
      <c r="D271" s="23" t="s">
        <v>33</v>
      </c>
      <c r="E271" s="23" t="s">
        <v>374</v>
      </c>
      <c r="F271" s="23" t="s">
        <v>375</v>
      </c>
      <c r="G271" s="23" t="s">
        <v>124</v>
      </c>
      <c r="H271" s="32" t="s">
        <v>36</v>
      </c>
      <c r="I271" s="23" t="s">
        <v>103</v>
      </c>
      <c r="J271" s="23" t="s">
        <v>1098</v>
      </c>
      <c r="K271" s="23" t="s">
        <v>1099</v>
      </c>
      <c r="L271" s="23" t="n">
        <v>7700</v>
      </c>
      <c r="M271" s="23" t="n">
        <v>1980</v>
      </c>
      <c r="N271" s="23" t="n">
        <v>7</v>
      </c>
      <c r="O271" s="23" t="n">
        <v>30</v>
      </c>
      <c r="P271" s="23" t="n">
        <v>110.05</v>
      </c>
      <c r="Q271" s="24" t="n">
        <v>2715518274227</v>
      </c>
      <c r="R271" s="23" t="n">
        <v>82.5</v>
      </c>
      <c r="S271" s="23" t="n">
        <v>24.2</v>
      </c>
      <c r="T271" s="23" t="n">
        <v>60.7</v>
      </c>
      <c r="U271" s="23" t="n">
        <v>67059887</v>
      </c>
      <c r="V271" s="33" t="n">
        <f aca="false">YEARFRAC(W271,X271,1)</f>
        <v>45.4750393196249</v>
      </c>
      <c r="W271" s="34" t="n">
        <f aca="false">DATE(M271,N271,O271)</f>
        <v>29432</v>
      </c>
      <c r="X271" s="34" t="n">
        <f aca="true">TODAY()</f>
        <v>46042</v>
      </c>
    </row>
    <row r="272" customFormat="false" ht="15" hidden="false" customHeight="false" outlineLevel="0" collapsed="false">
      <c r="A272" s="23" t="n">
        <v>282</v>
      </c>
      <c r="B272" s="23" t="s">
        <v>75</v>
      </c>
      <c r="C272" s="23" t="s">
        <v>1100</v>
      </c>
      <c r="D272" s="23" t="s">
        <v>42</v>
      </c>
      <c r="E272" s="23" t="s">
        <v>884</v>
      </c>
      <c r="F272" s="23" t="s">
        <v>1101</v>
      </c>
      <c r="G272" s="23" t="s">
        <v>75</v>
      </c>
      <c r="H272" s="32" t="s">
        <v>45</v>
      </c>
      <c r="I272" s="23" t="s">
        <v>37</v>
      </c>
      <c r="J272" s="23" t="s">
        <v>1102</v>
      </c>
      <c r="K272" s="23" t="s">
        <v>158</v>
      </c>
      <c r="L272" s="23" t="n">
        <v>7700</v>
      </c>
      <c r="M272" s="23" t="n">
        <v>1943</v>
      </c>
      <c r="N272" s="23" t="n">
        <v>2</v>
      </c>
      <c r="O272" s="23" t="n">
        <v>21</v>
      </c>
      <c r="P272" s="23" t="n">
        <v>117.24</v>
      </c>
      <c r="Q272" s="24" t="n">
        <v>21427700000000</v>
      </c>
      <c r="R272" s="23" t="n">
        <v>78.5</v>
      </c>
      <c r="S272" s="23" t="n">
        <v>9.6</v>
      </c>
      <c r="T272" s="23" t="n">
        <v>36.6</v>
      </c>
      <c r="U272" s="23" t="n">
        <v>328239523</v>
      </c>
      <c r="V272" s="33" t="n">
        <f aca="false">YEARFRAC(W272,X272,1)</f>
        <v>82.9130732375086</v>
      </c>
      <c r="W272" s="34" t="n">
        <f aca="false">DATE(M272,N272,O272)</f>
        <v>15758</v>
      </c>
      <c r="X272" s="34" t="n">
        <f aca="true">TODAY()</f>
        <v>46042</v>
      </c>
    </row>
    <row r="273" customFormat="false" ht="15" hidden="false" customHeight="false" outlineLevel="0" collapsed="false">
      <c r="A273" s="23" t="n">
        <v>282</v>
      </c>
      <c r="B273" s="23" t="s">
        <v>49</v>
      </c>
      <c r="C273" s="23" t="s">
        <v>1103</v>
      </c>
      <c r="D273" s="23" t="s">
        <v>126</v>
      </c>
      <c r="E273" s="23" t="s">
        <v>173</v>
      </c>
      <c r="F273" s="23" t="s">
        <v>1104</v>
      </c>
      <c r="G273" s="23" t="s">
        <v>49</v>
      </c>
      <c r="H273" s="32" t="s">
        <v>45</v>
      </c>
      <c r="I273" s="23" t="s">
        <v>37</v>
      </c>
      <c r="J273" s="23" t="s">
        <v>428</v>
      </c>
      <c r="K273" s="23" t="s">
        <v>233</v>
      </c>
      <c r="L273" s="23" t="n">
        <v>7700</v>
      </c>
      <c r="M273" s="23" t="n">
        <v>1968</v>
      </c>
      <c r="N273" s="23" t="n">
        <v>11</v>
      </c>
      <c r="O273" s="23" t="n">
        <v>17</v>
      </c>
      <c r="P273" s="23" t="n">
        <v>125.08</v>
      </c>
      <c r="Q273" s="24" t="n">
        <v>19910000000000</v>
      </c>
      <c r="R273" s="23" t="n">
        <v>77</v>
      </c>
      <c r="S273" s="23" t="n">
        <v>9.4</v>
      </c>
      <c r="T273" s="23" t="n">
        <v>59.2</v>
      </c>
      <c r="U273" s="23" t="n">
        <v>1397715000</v>
      </c>
      <c r="V273" s="33" t="n">
        <f aca="false">YEARFRAC(W273,X273,1)</f>
        <v>57.1738747099768</v>
      </c>
      <c r="W273" s="34" t="n">
        <f aca="false">DATE(M273,N273,O273)</f>
        <v>25159</v>
      </c>
      <c r="X273" s="34" t="n">
        <f aca="true">TODAY()</f>
        <v>46042</v>
      </c>
    </row>
    <row r="274" customFormat="false" ht="15" hidden="false" customHeight="false" outlineLevel="0" collapsed="false">
      <c r="A274" s="23" t="n">
        <v>282</v>
      </c>
      <c r="B274" s="23" t="s">
        <v>390</v>
      </c>
      <c r="C274" s="23" t="s">
        <v>1105</v>
      </c>
      <c r="D274" s="23" t="s">
        <v>126</v>
      </c>
      <c r="E274" s="23" t="s">
        <v>659</v>
      </c>
      <c r="F274" s="23" t="s">
        <v>660</v>
      </c>
      <c r="G274" s="23" t="s">
        <v>390</v>
      </c>
      <c r="H274" s="32" t="s">
        <v>45</v>
      </c>
      <c r="I274" s="23" t="s">
        <v>37</v>
      </c>
      <c r="J274" s="23" t="s">
        <v>661</v>
      </c>
      <c r="K274" s="23" t="s">
        <v>1106</v>
      </c>
      <c r="L274" s="23" t="n">
        <v>7700</v>
      </c>
      <c r="M274" s="23" t="n">
        <v>1951</v>
      </c>
      <c r="N274" s="23" t="n">
        <v>9</v>
      </c>
      <c r="O274" s="23" t="n">
        <v>1</v>
      </c>
      <c r="P274" s="23" t="n">
        <v>125.08</v>
      </c>
      <c r="Q274" s="24" t="n">
        <v>19910000000000</v>
      </c>
      <c r="R274" s="23" t="n">
        <v>77</v>
      </c>
      <c r="S274" s="23" t="n">
        <v>9.4</v>
      </c>
      <c r="T274" s="23" t="n">
        <v>59.2</v>
      </c>
      <c r="U274" s="23" t="n">
        <v>1397715000</v>
      </c>
      <c r="V274" s="33" t="n">
        <f aca="false">YEARFRAC(W274,X274,1)</f>
        <v>74.3874058863792</v>
      </c>
      <c r="W274" s="34" t="n">
        <f aca="false">DATE(M274,N274,O274)</f>
        <v>18872</v>
      </c>
      <c r="X274" s="34" t="n">
        <f aca="true">TODAY()</f>
        <v>46042</v>
      </c>
    </row>
    <row r="275" customFormat="false" ht="15" hidden="false" customHeight="false" outlineLevel="0" collapsed="false">
      <c r="A275" s="23" t="n">
        <v>282</v>
      </c>
      <c r="B275" s="23" t="s">
        <v>49</v>
      </c>
      <c r="C275" s="23" t="s">
        <v>1107</v>
      </c>
      <c r="D275" s="23" t="s">
        <v>42</v>
      </c>
      <c r="E275" s="23" t="s">
        <v>473</v>
      </c>
      <c r="F275" s="23" t="s">
        <v>396</v>
      </c>
      <c r="G275" s="23" t="s">
        <v>49</v>
      </c>
      <c r="H275" s="32" t="s">
        <v>45</v>
      </c>
      <c r="I275" s="23" t="s">
        <v>37</v>
      </c>
      <c r="J275" s="23" t="s">
        <v>1108</v>
      </c>
      <c r="K275" s="23" t="s">
        <v>1109</v>
      </c>
      <c r="L275" s="23" t="n">
        <v>7700</v>
      </c>
      <c r="M275" s="23" t="n">
        <v>1954</v>
      </c>
      <c r="N275" s="23" t="n">
        <v>9</v>
      </c>
      <c r="O275" s="23" t="n">
        <v>20</v>
      </c>
      <c r="P275" s="23" t="n">
        <v>117.24</v>
      </c>
      <c r="Q275" s="24" t="n">
        <v>21427700000000</v>
      </c>
      <c r="R275" s="23" t="n">
        <v>78.5</v>
      </c>
      <c r="S275" s="23" t="n">
        <v>9.6</v>
      </c>
      <c r="T275" s="23" t="n">
        <v>36.6</v>
      </c>
      <c r="U275" s="23" t="n">
        <v>328239523</v>
      </c>
      <c r="V275" s="33" t="n">
        <f aca="false">YEARFRAC(W275,X275,1)</f>
        <v>71.3353711135281</v>
      </c>
      <c r="W275" s="34" t="n">
        <f aca="false">DATE(M275,N275,O275)</f>
        <v>19987</v>
      </c>
      <c r="X275" s="34" t="n">
        <f aca="true">TODAY()</f>
        <v>46042</v>
      </c>
    </row>
    <row r="276" customFormat="false" ht="15" hidden="false" customHeight="false" outlineLevel="0" collapsed="false">
      <c r="A276" s="23" t="n">
        <v>282</v>
      </c>
      <c r="B276" s="23" t="s">
        <v>360</v>
      </c>
      <c r="C276" s="23" t="s">
        <v>1110</v>
      </c>
      <c r="D276" s="23" t="s">
        <v>42</v>
      </c>
      <c r="E276" s="23" t="s">
        <v>638</v>
      </c>
      <c r="F276" s="23" t="s">
        <v>554</v>
      </c>
      <c r="G276" s="23" t="s">
        <v>360</v>
      </c>
      <c r="H276" s="32" t="s">
        <v>45</v>
      </c>
      <c r="I276" s="23" t="s">
        <v>37</v>
      </c>
      <c r="J276" s="23" t="s">
        <v>1111</v>
      </c>
      <c r="K276" s="23" t="s">
        <v>269</v>
      </c>
      <c r="L276" s="23" t="n">
        <v>7700</v>
      </c>
      <c r="M276" s="23" t="n">
        <v>1955</v>
      </c>
      <c r="N276" s="23" t="n">
        <v>1</v>
      </c>
      <c r="O276" s="23" t="n">
        <v>3</v>
      </c>
      <c r="P276" s="23" t="n">
        <v>117.24</v>
      </c>
      <c r="Q276" s="24" t="n">
        <v>21427700000000</v>
      </c>
      <c r="R276" s="23" t="n">
        <v>78.5</v>
      </c>
      <c r="S276" s="23" t="n">
        <v>9.6</v>
      </c>
      <c r="T276" s="23" t="n">
        <v>36.6</v>
      </c>
      <c r="U276" s="23" t="n">
        <v>328239523</v>
      </c>
      <c r="V276" s="33" t="n">
        <f aca="false">YEARFRAC(W276,X276,1)</f>
        <v>71.047227926078</v>
      </c>
      <c r="W276" s="34" t="n">
        <f aca="false">DATE(M276,N276,O276)</f>
        <v>20092</v>
      </c>
      <c r="X276" s="34" t="n">
        <f aca="true">TODAY()</f>
        <v>46042</v>
      </c>
    </row>
    <row r="277" customFormat="false" ht="15" hidden="false" customHeight="false" outlineLevel="0" collapsed="false">
      <c r="A277" s="23" t="n">
        <v>282</v>
      </c>
      <c r="B277" s="23" t="s">
        <v>471</v>
      </c>
      <c r="C277" s="23" t="s">
        <v>1112</v>
      </c>
      <c r="D277" s="23" t="s">
        <v>1113</v>
      </c>
      <c r="E277" s="23" t="s">
        <v>1114</v>
      </c>
      <c r="F277" s="23" t="s">
        <v>474</v>
      </c>
      <c r="G277" s="23" t="s">
        <v>471</v>
      </c>
      <c r="H277" s="32" t="s">
        <v>45</v>
      </c>
      <c r="I277" s="23" t="s">
        <v>37</v>
      </c>
      <c r="J277" s="23" t="s">
        <v>1115</v>
      </c>
      <c r="K277" s="23" t="s">
        <v>1116</v>
      </c>
      <c r="L277" s="23" t="n">
        <v>7700</v>
      </c>
      <c r="M277" s="23" t="n">
        <v>1961</v>
      </c>
      <c r="N277" s="23" t="n">
        <v>6</v>
      </c>
      <c r="O277" s="23" t="n">
        <v>23</v>
      </c>
      <c r="P277" s="23" t="n">
        <v>120.27</v>
      </c>
      <c r="Q277" s="24" t="n">
        <v>403336363636</v>
      </c>
      <c r="R277" s="23" t="n">
        <v>82.8</v>
      </c>
      <c r="S277" s="23" t="n">
        <v>23.9</v>
      </c>
      <c r="T277" s="23" t="n">
        <v>36.2</v>
      </c>
      <c r="U277" s="23" t="n">
        <v>5347896</v>
      </c>
      <c r="V277" s="33" t="n">
        <f aca="false">YEARFRAC(W277,X277,1)</f>
        <v>64.5790259686385</v>
      </c>
      <c r="W277" s="34" t="n">
        <f aca="false">DATE(M277,N277,O277)</f>
        <v>22455</v>
      </c>
      <c r="X277" s="34" t="n">
        <f aca="true">TODAY()</f>
        <v>46042</v>
      </c>
    </row>
    <row r="278" customFormat="false" ht="15" hidden="false" customHeight="false" outlineLevel="0" collapsed="false">
      <c r="A278" s="23" t="n">
        <v>290</v>
      </c>
      <c r="B278" s="23" t="s">
        <v>305</v>
      </c>
      <c r="C278" s="23" t="s">
        <v>1117</v>
      </c>
      <c r="D278" s="23" t="s">
        <v>126</v>
      </c>
      <c r="E278" s="23" t="s">
        <v>1118</v>
      </c>
      <c r="F278" s="23" t="s">
        <v>1119</v>
      </c>
      <c r="G278" s="23" t="s">
        <v>305</v>
      </c>
      <c r="H278" s="32" t="s">
        <v>45</v>
      </c>
      <c r="I278" s="23" t="s">
        <v>37</v>
      </c>
      <c r="J278" s="23" t="s">
        <v>1120</v>
      </c>
      <c r="K278" s="23" t="s">
        <v>1121</v>
      </c>
      <c r="L278" s="23" t="n">
        <v>7600</v>
      </c>
      <c r="M278" s="23" t="n">
        <v>1968</v>
      </c>
      <c r="N278" s="23" t="n">
        <v>7</v>
      </c>
      <c r="O278" s="23" t="n">
        <v>24</v>
      </c>
      <c r="P278" s="23" t="n">
        <v>125.08</v>
      </c>
      <c r="Q278" s="24" t="n">
        <v>19910000000000</v>
      </c>
      <c r="R278" s="23" t="n">
        <v>77</v>
      </c>
      <c r="S278" s="23" t="n">
        <v>9.4</v>
      </c>
      <c r="T278" s="23" t="n">
        <v>59.2</v>
      </c>
      <c r="U278" s="23" t="n">
        <v>1397715000</v>
      </c>
      <c r="V278" s="33" t="n">
        <f aca="false">YEARFRAC(W278,X278,1)</f>
        <v>57.4914617169374</v>
      </c>
      <c r="W278" s="34" t="n">
        <f aca="false">DATE(M278,N278,O278)</f>
        <v>25043</v>
      </c>
      <c r="X278" s="34" t="n">
        <f aca="true">TODAY()</f>
        <v>46042</v>
      </c>
    </row>
    <row r="279" customFormat="false" ht="15" hidden="false" customHeight="false" outlineLevel="0" collapsed="false">
      <c r="A279" s="23" t="n">
        <v>290</v>
      </c>
      <c r="B279" s="23" t="s">
        <v>360</v>
      </c>
      <c r="C279" s="23" t="s">
        <v>1122</v>
      </c>
      <c r="D279" s="23" t="s">
        <v>91</v>
      </c>
      <c r="E279" s="23" t="s">
        <v>163</v>
      </c>
      <c r="F279" s="23" t="s">
        <v>524</v>
      </c>
      <c r="G279" s="23" t="s">
        <v>360</v>
      </c>
      <c r="H279" s="32" t="s">
        <v>45</v>
      </c>
      <c r="I279" s="23" t="s">
        <v>37</v>
      </c>
      <c r="J279" s="23" t="s">
        <v>1123</v>
      </c>
      <c r="K279" s="23" t="s">
        <v>1124</v>
      </c>
      <c r="L279" s="23" t="n">
        <v>7600</v>
      </c>
      <c r="M279" s="23" t="n">
        <v>1933</v>
      </c>
      <c r="N279" s="23" t="n">
        <v>9</v>
      </c>
      <c r="O279" s="23" t="n">
        <v>19</v>
      </c>
      <c r="P279" s="23" t="n">
        <v>180.44</v>
      </c>
      <c r="Q279" s="24" t="n">
        <v>2611000000000</v>
      </c>
      <c r="R279" s="23" t="n">
        <v>69.4</v>
      </c>
      <c r="S279" s="23" t="n">
        <v>11.2</v>
      </c>
      <c r="T279" s="23" t="n">
        <v>49.7</v>
      </c>
      <c r="U279" s="23" t="n">
        <v>1366417754</v>
      </c>
      <c r="V279" s="33" t="n">
        <f aca="false">YEARFRAC(W279,X279,1)</f>
        <v>92.3381003699065</v>
      </c>
      <c r="W279" s="34" t="n">
        <f aca="false">DATE(M279,N279,O279)</f>
        <v>12316</v>
      </c>
      <c r="X279" s="34" t="n">
        <f aca="true">TODAY()</f>
        <v>46042</v>
      </c>
    </row>
    <row r="280" customFormat="false" ht="15" hidden="false" customHeight="false" outlineLevel="0" collapsed="false">
      <c r="A280" s="23" t="n">
        <v>290</v>
      </c>
      <c r="B280" s="23" t="s">
        <v>264</v>
      </c>
      <c r="C280" s="23" t="s">
        <v>1125</v>
      </c>
      <c r="D280" s="23" t="s">
        <v>241</v>
      </c>
      <c r="E280" s="23" t="s">
        <v>242</v>
      </c>
      <c r="F280" s="23" t="s">
        <v>357</v>
      </c>
      <c r="G280" s="23" t="s">
        <v>264</v>
      </c>
      <c r="H280" s="32" t="s">
        <v>45</v>
      </c>
      <c r="I280" s="23" t="s">
        <v>37</v>
      </c>
      <c r="J280" s="23" t="s">
        <v>1126</v>
      </c>
      <c r="K280" s="23" t="s">
        <v>421</v>
      </c>
      <c r="L280" s="23" t="n">
        <v>7600</v>
      </c>
      <c r="M280" s="23" t="n">
        <v>1955</v>
      </c>
      <c r="N280" s="23" t="n">
        <v>12</v>
      </c>
      <c r="O280" s="23" t="n">
        <v>4</v>
      </c>
      <c r="P280" s="23" t="n">
        <v>119.62</v>
      </c>
      <c r="Q280" s="24" t="n">
        <v>2827113184696</v>
      </c>
      <c r="R280" s="23" t="n">
        <v>81.3</v>
      </c>
      <c r="S280" s="23" t="n">
        <v>25.5</v>
      </c>
      <c r="T280" s="23" t="n">
        <v>30.6</v>
      </c>
      <c r="U280" s="23" t="n">
        <v>66834405</v>
      </c>
      <c r="V280" s="33" t="n">
        <f aca="false">YEARFRAC(W280,X280,1)</f>
        <v>70.1300479123888</v>
      </c>
      <c r="W280" s="34" t="n">
        <f aca="false">DATE(M280,N280,O280)</f>
        <v>20427</v>
      </c>
      <c r="X280" s="34" t="n">
        <f aca="true">TODAY()</f>
        <v>46042</v>
      </c>
    </row>
    <row r="281" customFormat="false" ht="15" hidden="false" customHeight="false" outlineLevel="0" collapsed="false">
      <c r="A281" s="23" t="n">
        <v>290</v>
      </c>
      <c r="B281" s="23" t="s">
        <v>49</v>
      </c>
      <c r="C281" s="23" t="s">
        <v>1127</v>
      </c>
      <c r="D281" s="23" t="s">
        <v>42</v>
      </c>
      <c r="E281" s="23" t="s">
        <v>43</v>
      </c>
      <c r="F281" s="23" t="s">
        <v>855</v>
      </c>
      <c r="G281" s="23" t="s">
        <v>49</v>
      </c>
      <c r="H281" s="32" t="s">
        <v>45</v>
      </c>
      <c r="I281" s="23" t="s">
        <v>37</v>
      </c>
      <c r="J281" s="23" t="s">
        <v>1128</v>
      </c>
      <c r="K281" s="23" t="s">
        <v>1129</v>
      </c>
      <c r="L281" s="23" t="n">
        <v>7600</v>
      </c>
      <c r="M281" s="23" t="n">
        <v>1981</v>
      </c>
      <c r="N281" s="23" t="n">
        <v>8</v>
      </c>
      <c r="O281" s="23" t="n">
        <v>21</v>
      </c>
      <c r="P281" s="23" t="n">
        <v>117.24</v>
      </c>
      <c r="Q281" s="24" t="n">
        <v>21427700000000</v>
      </c>
      <c r="R281" s="23" t="n">
        <v>78.5</v>
      </c>
      <c r="S281" s="23" t="n">
        <v>9.6</v>
      </c>
      <c r="T281" s="23" t="n">
        <v>36.6</v>
      </c>
      <c r="U281" s="23" t="n">
        <v>328239523</v>
      </c>
      <c r="V281" s="33" t="n">
        <f aca="false">YEARFRAC(W281,X281,1)</f>
        <v>44.4174751502887</v>
      </c>
      <c r="W281" s="34" t="n">
        <f aca="false">DATE(M281,N281,O281)</f>
        <v>29819</v>
      </c>
      <c r="X281" s="34" t="n">
        <f aca="true">TODAY()</f>
        <v>46042</v>
      </c>
    </row>
    <row r="282" customFormat="false" ht="15" hidden="false" customHeight="false" outlineLevel="0" collapsed="false">
      <c r="A282" s="23" t="n">
        <v>290</v>
      </c>
      <c r="B282" s="23" t="s">
        <v>471</v>
      </c>
      <c r="C282" s="23" t="s">
        <v>1130</v>
      </c>
      <c r="D282" s="23" t="s">
        <v>561</v>
      </c>
      <c r="E282" s="23" t="s">
        <v>561</v>
      </c>
      <c r="F282" s="23" t="s">
        <v>471</v>
      </c>
      <c r="G282" s="23" t="s">
        <v>471</v>
      </c>
      <c r="H282" s="32" t="s">
        <v>36</v>
      </c>
      <c r="I282" s="23" t="s">
        <v>37</v>
      </c>
      <c r="J282" s="23" t="s">
        <v>1131</v>
      </c>
      <c r="K282" s="23" t="s">
        <v>697</v>
      </c>
      <c r="L282" s="23" t="n">
        <v>7600</v>
      </c>
      <c r="M282" s="23" t="n">
        <v>1959</v>
      </c>
      <c r="N282" s="23" t="n">
        <v>1</v>
      </c>
      <c r="O282" s="23" t="n">
        <v>1</v>
      </c>
      <c r="P282" s="23" t="n">
        <v>114.41</v>
      </c>
      <c r="Q282" s="24" t="n">
        <v>372062527489</v>
      </c>
      <c r="R282" s="23" t="n">
        <v>83.1</v>
      </c>
      <c r="S282" s="23" t="n">
        <v>13.1</v>
      </c>
      <c r="T282" s="23" t="n">
        <v>21</v>
      </c>
      <c r="U282" s="23" t="n">
        <v>5703569</v>
      </c>
      <c r="V282" s="33" t="n">
        <f aca="false">YEARFRAC(W282,X282,1)</f>
        <v>67.0527036276523</v>
      </c>
      <c r="W282" s="34" t="n">
        <f aca="false">DATE(M282,N282,O282)</f>
        <v>21551</v>
      </c>
      <c r="X282" s="34" t="n">
        <f aca="true">TODAY()</f>
        <v>46042</v>
      </c>
    </row>
    <row r="283" customFormat="false" ht="15" hidden="false" customHeight="false" outlineLevel="0" collapsed="false">
      <c r="A283" s="23" t="n">
        <v>290</v>
      </c>
      <c r="B283" s="23" t="s">
        <v>264</v>
      </c>
      <c r="C283" s="23" t="s">
        <v>1132</v>
      </c>
      <c r="D283" s="23" t="s">
        <v>241</v>
      </c>
      <c r="E283" s="23" t="s">
        <v>242</v>
      </c>
      <c r="F283" s="23" t="s">
        <v>357</v>
      </c>
      <c r="G283" s="23" t="s">
        <v>264</v>
      </c>
      <c r="H283" s="32" t="s">
        <v>45</v>
      </c>
      <c r="I283" s="23" t="s">
        <v>37</v>
      </c>
      <c r="J283" s="23" t="s">
        <v>1133</v>
      </c>
      <c r="K283" s="23" t="s">
        <v>207</v>
      </c>
      <c r="L283" s="23" t="n">
        <v>7600</v>
      </c>
      <c r="M283" s="23" t="n">
        <v>1957</v>
      </c>
      <c r="N283" s="23" t="n">
        <v>3</v>
      </c>
      <c r="O283" s="23" t="n">
        <v>7</v>
      </c>
      <c r="P283" s="23" t="n">
        <v>119.62</v>
      </c>
      <c r="Q283" s="24" t="n">
        <v>2827113184696</v>
      </c>
      <c r="R283" s="23" t="n">
        <v>81.3</v>
      </c>
      <c r="S283" s="23" t="n">
        <v>25.5</v>
      </c>
      <c r="T283" s="23" t="n">
        <v>30.6</v>
      </c>
      <c r="U283" s="23" t="n">
        <v>66834405</v>
      </c>
      <c r="V283" s="33" t="n">
        <f aca="false">YEARFRAC(W283,X283,1)</f>
        <v>68.8747213204522</v>
      </c>
      <c r="W283" s="34" t="n">
        <f aca="false">DATE(M283,N283,O283)</f>
        <v>20886</v>
      </c>
      <c r="X283" s="34" t="n">
        <f aca="true">TODAY()</f>
        <v>46042</v>
      </c>
    </row>
    <row r="284" customFormat="false" ht="15" hidden="false" customHeight="false" outlineLevel="0" collapsed="false">
      <c r="A284" s="23" t="n">
        <v>290</v>
      </c>
      <c r="B284" s="23" t="s">
        <v>471</v>
      </c>
      <c r="C284" s="23" t="s">
        <v>1134</v>
      </c>
      <c r="D284" s="23" t="s">
        <v>42</v>
      </c>
      <c r="E284" s="23" t="s">
        <v>77</v>
      </c>
      <c r="F284" s="23" t="s">
        <v>474</v>
      </c>
      <c r="G284" s="23" t="s">
        <v>471</v>
      </c>
      <c r="H284" s="32" t="s">
        <v>36</v>
      </c>
      <c r="I284" s="23" t="s">
        <v>37</v>
      </c>
      <c r="J284" s="23" t="s">
        <v>1135</v>
      </c>
      <c r="K284" s="23" t="s">
        <v>401</v>
      </c>
      <c r="L284" s="23" t="n">
        <v>7600</v>
      </c>
      <c r="M284" s="23" t="n">
        <v>1938</v>
      </c>
      <c r="N284" s="23" t="n">
        <v>3</v>
      </c>
      <c r="O284" s="23" t="n">
        <v>28</v>
      </c>
      <c r="P284" s="23" t="n">
        <v>117.24</v>
      </c>
      <c r="Q284" s="24" t="n">
        <v>21427700000000</v>
      </c>
      <c r="R284" s="23" t="n">
        <v>78.5</v>
      </c>
      <c r="S284" s="23" t="n">
        <v>9.6</v>
      </c>
      <c r="T284" s="23" t="n">
        <v>36.6</v>
      </c>
      <c r="U284" s="23" t="n">
        <v>328239523</v>
      </c>
      <c r="V284" s="33" t="n">
        <f aca="false">YEARFRAC(W284,X284,1)</f>
        <v>87.8172393638293</v>
      </c>
      <c r="W284" s="34" t="n">
        <f aca="false">DATE(M284,N284,O284)</f>
        <v>13967</v>
      </c>
      <c r="X284" s="34" t="n">
        <f aca="true">TODAY()</f>
        <v>46042</v>
      </c>
    </row>
    <row r="285" customFormat="false" ht="15" hidden="false" customHeight="false" outlineLevel="0" collapsed="false">
      <c r="A285" s="23" t="n">
        <v>290</v>
      </c>
      <c r="B285" s="23" t="s">
        <v>360</v>
      </c>
      <c r="C285" s="23" t="s">
        <v>1136</v>
      </c>
      <c r="D285" s="23" t="s">
        <v>126</v>
      </c>
      <c r="E285" s="23" t="s">
        <v>260</v>
      </c>
      <c r="F285" s="23" t="s">
        <v>524</v>
      </c>
      <c r="G285" s="23" t="s">
        <v>360</v>
      </c>
      <c r="H285" s="32" t="s">
        <v>45</v>
      </c>
      <c r="I285" s="23" t="s">
        <v>103</v>
      </c>
      <c r="J285" s="23" t="s">
        <v>129</v>
      </c>
      <c r="K285" s="23" t="s">
        <v>1137</v>
      </c>
      <c r="L285" s="23" t="n">
        <v>7600</v>
      </c>
      <c r="M285" s="23" t="n">
        <v>1961</v>
      </c>
      <c r="N285" s="23" t="n">
        <v>1</v>
      </c>
      <c r="O285" s="23" t="n">
        <v>1</v>
      </c>
      <c r="P285" s="23" t="n">
        <v>125.08</v>
      </c>
      <c r="Q285" s="24" t="n">
        <v>19910000000000</v>
      </c>
      <c r="R285" s="23" t="n">
        <v>77</v>
      </c>
      <c r="S285" s="23" t="n">
        <v>9.4</v>
      </c>
      <c r="T285" s="23" t="n">
        <v>59.2</v>
      </c>
      <c r="U285" s="23" t="n">
        <v>1397715000</v>
      </c>
      <c r="V285" s="33" t="n">
        <f aca="false">YEARFRAC(W285,X285,1)</f>
        <v>65.0526839790923</v>
      </c>
      <c r="W285" s="34" t="n">
        <f aca="false">DATE(M285,N285,O285)</f>
        <v>22282</v>
      </c>
      <c r="X285" s="34" t="n">
        <f aca="true">TODAY()</f>
        <v>46042</v>
      </c>
    </row>
    <row r="286" customFormat="false" ht="15" hidden="false" customHeight="false" outlineLevel="0" collapsed="false">
      <c r="A286" s="23" t="n">
        <v>299</v>
      </c>
      <c r="B286" s="23" t="s">
        <v>594</v>
      </c>
      <c r="C286" s="23" t="s">
        <v>1138</v>
      </c>
      <c r="D286" s="23" t="s">
        <v>42</v>
      </c>
      <c r="E286" s="23" t="s">
        <v>980</v>
      </c>
      <c r="F286" s="23" t="s">
        <v>1039</v>
      </c>
      <c r="G286" s="23" t="s">
        <v>594</v>
      </c>
      <c r="H286" s="32" t="s">
        <v>45</v>
      </c>
      <c r="I286" s="23" t="s">
        <v>37</v>
      </c>
      <c r="J286" s="23" t="s">
        <v>1139</v>
      </c>
      <c r="K286" s="23" t="s">
        <v>1140</v>
      </c>
      <c r="L286" s="23" t="n">
        <v>7500</v>
      </c>
      <c r="M286" s="23" t="n">
        <v>1942</v>
      </c>
      <c r="N286" s="23" t="n">
        <v>9</v>
      </c>
      <c r="O286" s="23" t="n">
        <v>27</v>
      </c>
      <c r="P286" s="23" t="n">
        <v>117.24</v>
      </c>
      <c r="Q286" s="24" t="n">
        <v>21427700000000</v>
      </c>
      <c r="R286" s="23" t="n">
        <v>78.5</v>
      </c>
      <c r="S286" s="23" t="n">
        <v>9.6</v>
      </c>
      <c r="T286" s="23" t="n">
        <v>36.6</v>
      </c>
      <c r="U286" s="23" t="n">
        <v>328239523</v>
      </c>
      <c r="V286" s="33" t="n">
        <f aca="false">YEARFRAC(W286,X286,1)</f>
        <v>83.3162082071764</v>
      </c>
      <c r="W286" s="34" t="n">
        <f aca="false">DATE(M286,N286,O286)</f>
        <v>15611</v>
      </c>
      <c r="X286" s="34" t="n">
        <f aca="true">TODAY()</f>
        <v>46042</v>
      </c>
    </row>
    <row r="287" customFormat="false" ht="15" hidden="false" customHeight="false" outlineLevel="0" collapsed="false">
      <c r="A287" s="23" t="n">
        <v>299</v>
      </c>
      <c r="B287" s="23" t="s">
        <v>31</v>
      </c>
      <c r="C287" s="23" t="s">
        <v>1141</v>
      </c>
      <c r="D287" s="23" t="s">
        <v>42</v>
      </c>
      <c r="E287" s="23" t="s">
        <v>1142</v>
      </c>
      <c r="F287" s="23" t="s">
        <v>1143</v>
      </c>
      <c r="G287" s="23" t="s">
        <v>31</v>
      </c>
      <c r="H287" s="32" t="s">
        <v>36</v>
      </c>
      <c r="I287" s="23" t="s">
        <v>37</v>
      </c>
      <c r="J287" s="23" t="s">
        <v>1144</v>
      </c>
      <c r="K287" s="23" t="s">
        <v>140</v>
      </c>
      <c r="L287" s="23" t="n">
        <v>7500</v>
      </c>
      <c r="M287" s="23" t="n">
        <v>1938</v>
      </c>
      <c r="N287" s="23" t="n">
        <v>2</v>
      </c>
      <c r="O287" s="23" t="n">
        <v>3</v>
      </c>
      <c r="P287" s="23" t="n">
        <v>117.24</v>
      </c>
      <c r="Q287" s="24" t="n">
        <v>21427700000000</v>
      </c>
      <c r="R287" s="23" t="n">
        <v>78.5</v>
      </c>
      <c r="S287" s="23" t="n">
        <v>9.6</v>
      </c>
      <c r="T287" s="23" t="n">
        <v>36.6</v>
      </c>
      <c r="U287" s="23" t="n">
        <v>328239523</v>
      </c>
      <c r="V287" s="33" t="n">
        <f aca="false">YEARFRAC(W287,X287,1)</f>
        <v>87.9623465715077</v>
      </c>
      <c r="W287" s="34" t="n">
        <f aca="false">DATE(M287,N287,O287)</f>
        <v>13914</v>
      </c>
      <c r="X287" s="34" t="n">
        <f aca="true">TODAY()</f>
        <v>46042</v>
      </c>
    </row>
    <row r="288" customFormat="false" ht="15" hidden="false" customHeight="false" outlineLevel="0" collapsed="false">
      <c r="A288" s="23" t="n">
        <v>299</v>
      </c>
      <c r="B288" s="23" t="s">
        <v>31</v>
      </c>
      <c r="C288" s="23" t="s">
        <v>1145</v>
      </c>
      <c r="D288" s="23" t="s">
        <v>126</v>
      </c>
      <c r="E288" s="23" t="s">
        <v>1057</v>
      </c>
      <c r="F288" s="23" t="s">
        <v>1058</v>
      </c>
      <c r="G288" s="23" t="s">
        <v>31</v>
      </c>
      <c r="H288" s="32" t="s">
        <v>45</v>
      </c>
      <c r="I288" s="23" t="s">
        <v>37</v>
      </c>
      <c r="J288" s="23" t="s">
        <v>295</v>
      </c>
      <c r="K288" s="23" t="s">
        <v>1146</v>
      </c>
      <c r="L288" s="23" t="n">
        <v>7500</v>
      </c>
      <c r="M288" s="23" t="n">
        <v>1964</v>
      </c>
      <c r="N288" s="23" t="n">
        <v>1</v>
      </c>
      <c r="O288" s="23" t="n">
        <v>1</v>
      </c>
      <c r="P288" s="23" t="n">
        <v>125.08</v>
      </c>
      <c r="Q288" s="24" t="n">
        <v>19910000000000</v>
      </c>
      <c r="R288" s="23" t="n">
        <v>77</v>
      </c>
      <c r="S288" s="23" t="n">
        <v>9.4</v>
      </c>
      <c r="T288" s="23" t="n">
        <v>59.2</v>
      </c>
      <c r="U288" s="23" t="n">
        <v>1397715000</v>
      </c>
      <c r="V288" s="33" t="n">
        <f aca="false">YEARFRAC(W288,X288,1)</f>
        <v>62.0527139194298</v>
      </c>
      <c r="W288" s="34" t="n">
        <f aca="false">DATE(M288,N288,O288)</f>
        <v>23377</v>
      </c>
      <c r="X288" s="34" t="n">
        <f aca="true">TODAY()</f>
        <v>46042</v>
      </c>
    </row>
    <row r="289" customFormat="false" ht="15" hidden="false" customHeight="false" outlineLevel="0" collapsed="false">
      <c r="A289" s="23" t="n">
        <v>299</v>
      </c>
      <c r="B289" s="23" t="s">
        <v>62</v>
      </c>
      <c r="C289" s="23" t="s">
        <v>1147</v>
      </c>
      <c r="D289" s="23" t="s">
        <v>42</v>
      </c>
      <c r="E289" s="23" t="s">
        <v>313</v>
      </c>
      <c r="F289" s="23" t="s">
        <v>221</v>
      </c>
      <c r="G289" s="23" t="s">
        <v>62</v>
      </c>
      <c r="H289" s="32" t="s">
        <v>45</v>
      </c>
      <c r="I289" s="23" t="s">
        <v>37</v>
      </c>
      <c r="J289" s="23" t="s">
        <v>598</v>
      </c>
      <c r="K289" s="23" t="s">
        <v>1148</v>
      </c>
      <c r="L289" s="23" t="n">
        <v>7500</v>
      </c>
      <c r="M289" s="23" t="n">
        <v>1954</v>
      </c>
      <c r="N289" s="23" t="n">
        <v>9</v>
      </c>
      <c r="O289" s="23" t="n">
        <v>28</v>
      </c>
      <c r="P289" s="23" t="n">
        <v>117.24</v>
      </c>
      <c r="Q289" s="24" t="n">
        <v>21427700000000</v>
      </c>
      <c r="R289" s="23" t="n">
        <v>78.5</v>
      </c>
      <c r="S289" s="23" t="n">
        <v>9.6</v>
      </c>
      <c r="T289" s="23" t="n">
        <v>36.6</v>
      </c>
      <c r="U289" s="23" t="n">
        <v>328239523</v>
      </c>
      <c r="V289" s="33" t="n">
        <f aca="false">YEARFRAC(W289,X289,1)</f>
        <v>71.313468101864</v>
      </c>
      <c r="W289" s="34" t="n">
        <f aca="false">DATE(M289,N289,O289)</f>
        <v>19995</v>
      </c>
      <c r="X289" s="34" t="n">
        <f aca="true">TODAY()</f>
        <v>46042</v>
      </c>
    </row>
    <row r="290" customFormat="false" ht="15" hidden="false" customHeight="false" outlineLevel="0" collapsed="false">
      <c r="A290" s="23" t="n">
        <v>299</v>
      </c>
      <c r="B290" s="23" t="s">
        <v>62</v>
      </c>
      <c r="C290" s="23" t="s">
        <v>1149</v>
      </c>
      <c r="D290" s="23" t="s">
        <v>42</v>
      </c>
      <c r="E290" s="23" t="s">
        <v>77</v>
      </c>
      <c r="F290" s="23" t="s">
        <v>801</v>
      </c>
      <c r="G290" s="23" t="s">
        <v>62</v>
      </c>
      <c r="H290" s="32" t="s">
        <v>45</v>
      </c>
      <c r="I290" s="23" t="s">
        <v>37</v>
      </c>
      <c r="J290" s="23" t="s">
        <v>1150</v>
      </c>
      <c r="K290" s="23" t="s">
        <v>1109</v>
      </c>
      <c r="L290" s="23" t="n">
        <v>7500</v>
      </c>
      <c r="M290" s="23" t="n">
        <v>1944</v>
      </c>
      <c r="N290" s="23" t="n">
        <v>1</v>
      </c>
      <c r="O290" s="23" t="n">
        <v>6</v>
      </c>
      <c r="P290" s="23" t="n">
        <v>117.24</v>
      </c>
      <c r="Q290" s="24" t="n">
        <v>21427700000000</v>
      </c>
      <c r="R290" s="23" t="n">
        <v>78.5</v>
      </c>
      <c r="S290" s="23" t="n">
        <v>9.6</v>
      </c>
      <c r="T290" s="23" t="n">
        <v>36.6</v>
      </c>
      <c r="U290" s="23" t="n">
        <v>328239523</v>
      </c>
      <c r="V290" s="33" t="n">
        <f aca="false">YEARFRAC(W290,X290,1)</f>
        <v>82.0390222984563</v>
      </c>
      <c r="W290" s="34" t="n">
        <f aca="false">DATE(M290,N290,O290)</f>
        <v>16077</v>
      </c>
      <c r="X290" s="34" t="n">
        <f aca="true">TODAY()</f>
        <v>46042</v>
      </c>
    </row>
    <row r="291" customFormat="false" ht="15" hidden="false" customHeight="false" outlineLevel="0" collapsed="false">
      <c r="A291" s="23" t="n">
        <v>299</v>
      </c>
      <c r="B291" s="23" t="s">
        <v>124</v>
      </c>
      <c r="C291" s="23" t="s">
        <v>1151</v>
      </c>
      <c r="D291" s="23" t="s">
        <v>561</v>
      </c>
      <c r="E291" s="23" t="s">
        <v>561</v>
      </c>
      <c r="F291" s="23" t="s">
        <v>1152</v>
      </c>
      <c r="G291" s="23" t="s">
        <v>124</v>
      </c>
      <c r="H291" s="32" t="s">
        <v>45</v>
      </c>
      <c r="I291" s="23" t="s">
        <v>37</v>
      </c>
      <c r="J291" s="23" t="s">
        <v>175</v>
      </c>
      <c r="K291" s="23" t="s">
        <v>1153</v>
      </c>
      <c r="L291" s="23" t="n">
        <v>7500</v>
      </c>
      <c r="M291" s="23" t="n">
        <v>1970</v>
      </c>
      <c r="N291" s="23" t="n">
        <v>7</v>
      </c>
      <c r="O291" s="23" t="n">
        <v>1</v>
      </c>
      <c r="P291" s="23" t="n">
        <v>114.41</v>
      </c>
      <c r="Q291" s="24" t="n">
        <v>372062527489</v>
      </c>
      <c r="R291" s="23" t="n">
        <v>83.1</v>
      </c>
      <c r="S291" s="23" t="n">
        <v>13.1</v>
      </c>
      <c r="T291" s="23" t="n">
        <v>21</v>
      </c>
      <c r="U291" s="23" t="n">
        <v>5703569</v>
      </c>
      <c r="V291" s="33" t="n">
        <f aca="false">YEARFRAC(W291,X291,1)</f>
        <v>55.5571353090927</v>
      </c>
      <c r="W291" s="34" t="n">
        <f aca="false">DATE(M291,N291,O291)</f>
        <v>25750</v>
      </c>
      <c r="X291" s="34" t="n">
        <f aca="true">TODAY()</f>
        <v>46042</v>
      </c>
    </row>
    <row r="292" customFormat="false" ht="15" hidden="false" customHeight="false" outlineLevel="0" collapsed="false">
      <c r="A292" s="23" t="n">
        <v>305</v>
      </c>
      <c r="B292" s="23" t="s">
        <v>49</v>
      </c>
      <c r="C292" s="23" t="s">
        <v>1154</v>
      </c>
      <c r="D292" s="23" t="s">
        <v>42</v>
      </c>
      <c r="E292" s="23" t="s">
        <v>1155</v>
      </c>
      <c r="F292" s="23" t="s">
        <v>731</v>
      </c>
      <c r="G292" s="23" t="s">
        <v>49</v>
      </c>
      <c r="H292" s="32" t="s">
        <v>45</v>
      </c>
      <c r="I292" s="23" t="s">
        <v>37</v>
      </c>
      <c r="J292" s="23" t="s">
        <v>1156</v>
      </c>
      <c r="K292" s="23" t="s">
        <v>359</v>
      </c>
      <c r="L292" s="23" t="n">
        <v>7400</v>
      </c>
      <c r="M292" s="23" t="n">
        <v>1943</v>
      </c>
      <c r="N292" s="23" t="n">
        <v>1</v>
      </c>
      <c r="O292" s="23" t="n">
        <v>6</v>
      </c>
      <c r="P292" s="23" t="n">
        <v>117.24</v>
      </c>
      <c r="Q292" s="24" t="n">
        <v>21427700000000</v>
      </c>
      <c r="R292" s="23" t="n">
        <v>78.5</v>
      </c>
      <c r="S292" s="23" t="n">
        <v>9.6</v>
      </c>
      <c r="T292" s="23" t="n">
        <v>36.6</v>
      </c>
      <c r="U292" s="23" t="n">
        <v>328239523</v>
      </c>
      <c r="V292" s="33" t="n">
        <f aca="false">YEARFRAC(W292,X292,1)</f>
        <v>83.0390143737166</v>
      </c>
      <c r="W292" s="34" t="n">
        <f aca="false">DATE(M292,N292,O292)</f>
        <v>15712</v>
      </c>
      <c r="X292" s="34" t="n">
        <f aca="true">TODAY()</f>
        <v>46042</v>
      </c>
    </row>
    <row r="293" customFormat="false" ht="15" hidden="false" customHeight="false" outlineLevel="0" collapsed="false">
      <c r="A293" s="23" t="n">
        <v>305</v>
      </c>
      <c r="B293" s="23" t="s">
        <v>264</v>
      </c>
      <c r="C293" s="23" t="s">
        <v>1157</v>
      </c>
      <c r="D293" s="23" t="s">
        <v>241</v>
      </c>
      <c r="E293" s="23" t="s">
        <v>242</v>
      </c>
      <c r="F293" s="23" t="s">
        <v>1085</v>
      </c>
      <c r="G293" s="23" t="s">
        <v>264</v>
      </c>
      <c r="H293" s="32" t="s">
        <v>36</v>
      </c>
      <c r="I293" s="23" t="s">
        <v>37</v>
      </c>
      <c r="J293" s="23" t="s">
        <v>1158</v>
      </c>
      <c r="K293" s="23" t="s">
        <v>1159</v>
      </c>
      <c r="L293" s="23" t="n">
        <v>7400</v>
      </c>
      <c r="M293" s="23" t="n">
        <v>1952</v>
      </c>
      <c r="N293" s="23" t="n">
        <v>8</v>
      </c>
      <c r="O293" s="23" t="n">
        <v>11</v>
      </c>
      <c r="P293" s="23" t="n">
        <v>119.62</v>
      </c>
      <c r="Q293" s="24" t="n">
        <v>2827113184696</v>
      </c>
      <c r="R293" s="23" t="n">
        <v>81.3</v>
      </c>
      <c r="S293" s="23" t="n">
        <v>25.5</v>
      </c>
      <c r="T293" s="23" t="n">
        <v>30.6</v>
      </c>
      <c r="U293" s="23" t="n">
        <v>66834405</v>
      </c>
      <c r="V293" s="33" t="n">
        <f aca="false">YEARFRAC(W293,X293,1)</f>
        <v>73.4421771190772</v>
      </c>
      <c r="W293" s="34" t="n">
        <f aca="false">DATE(M293,N293,O293)</f>
        <v>19217</v>
      </c>
      <c r="X293" s="34" t="n">
        <f aca="true">TODAY()</f>
        <v>46042</v>
      </c>
    </row>
    <row r="294" customFormat="false" ht="15" hidden="false" customHeight="false" outlineLevel="0" collapsed="false">
      <c r="A294" s="23" t="n">
        <v>305</v>
      </c>
      <c r="B294" s="23" t="s">
        <v>31</v>
      </c>
      <c r="C294" s="23" t="s">
        <v>1160</v>
      </c>
      <c r="D294" s="23" t="s">
        <v>126</v>
      </c>
      <c r="E294" s="23" t="s">
        <v>825</v>
      </c>
      <c r="F294" s="23" t="s">
        <v>1161</v>
      </c>
      <c r="G294" s="23" t="s">
        <v>31</v>
      </c>
      <c r="H294" s="32" t="s">
        <v>45</v>
      </c>
      <c r="I294" s="23" t="s">
        <v>37</v>
      </c>
      <c r="J294" s="23" t="s">
        <v>211</v>
      </c>
      <c r="K294" s="23" t="s">
        <v>1162</v>
      </c>
      <c r="L294" s="23" t="n">
        <v>7400</v>
      </c>
      <c r="M294" s="23" t="n">
        <v>1964</v>
      </c>
      <c r="N294" s="23" t="n">
        <v>1</v>
      </c>
      <c r="O294" s="23" t="n">
        <v>1</v>
      </c>
      <c r="P294" s="23" t="n">
        <v>125.08</v>
      </c>
      <c r="Q294" s="24" t="n">
        <v>19910000000000</v>
      </c>
      <c r="R294" s="23" t="n">
        <v>77</v>
      </c>
      <c r="S294" s="23" t="n">
        <v>9.4</v>
      </c>
      <c r="T294" s="23" t="n">
        <v>59.2</v>
      </c>
      <c r="U294" s="23" t="n">
        <v>1397715000</v>
      </c>
      <c r="V294" s="33" t="n">
        <f aca="false">YEARFRAC(W294,X294,1)</f>
        <v>62.0527139194298</v>
      </c>
      <c r="W294" s="34" t="n">
        <f aca="false">DATE(M294,N294,O294)</f>
        <v>23377</v>
      </c>
      <c r="X294" s="34" t="n">
        <f aca="true">TODAY()</f>
        <v>46042</v>
      </c>
    </row>
    <row r="295" customFormat="false" ht="15" hidden="false" customHeight="false" outlineLevel="0" collapsed="false">
      <c r="A295" s="23" t="n">
        <v>305</v>
      </c>
      <c r="B295" s="23" t="s">
        <v>471</v>
      </c>
      <c r="C295" s="23" t="s">
        <v>1163</v>
      </c>
      <c r="D295" s="23" t="s">
        <v>561</v>
      </c>
      <c r="E295" s="23" t="s">
        <v>561</v>
      </c>
      <c r="F295" s="23" t="s">
        <v>474</v>
      </c>
      <c r="G295" s="23" t="s">
        <v>471</v>
      </c>
      <c r="H295" s="32" t="s">
        <v>36</v>
      </c>
      <c r="I295" s="23" t="s">
        <v>37</v>
      </c>
      <c r="J295" s="23" t="s">
        <v>1131</v>
      </c>
      <c r="K295" s="23" t="s">
        <v>531</v>
      </c>
      <c r="L295" s="23" t="n">
        <v>7400</v>
      </c>
      <c r="M295" s="23" t="n">
        <v>1952</v>
      </c>
      <c r="N295" s="23" t="n">
        <v>1</v>
      </c>
      <c r="O295" s="23" t="n">
        <v>1</v>
      </c>
      <c r="P295" s="23" t="n">
        <v>114.41</v>
      </c>
      <c r="Q295" s="24" t="n">
        <v>372062527489</v>
      </c>
      <c r="R295" s="23" t="n">
        <v>83.1</v>
      </c>
      <c r="S295" s="23" t="n">
        <v>13.1</v>
      </c>
      <c r="T295" s="23" t="n">
        <v>21</v>
      </c>
      <c r="U295" s="23" t="n">
        <v>5703569</v>
      </c>
      <c r="V295" s="33" t="n">
        <f aca="false">YEARFRAC(W295,X295,1)</f>
        <v>74.0527122727605</v>
      </c>
      <c r="W295" s="34" t="n">
        <f aca="false">DATE(M295,N295,O295)</f>
        <v>18994</v>
      </c>
      <c r="X295" s="34" t="n">
        <f aca="true">TODAY()</f>
        <v>46042</v>
      </c>
    </row>
    <row r="296" customFormat="false" ht="15" hidden="false" customHeight="false" outlineLevel="0" collapsed="false">
      <c r="A296" s="23" t="n">
        <v>305</v>
      </c>
      <c r="B296" s="23" t="s">
        <v>264</v>
      </c>
      <c r="C296" s="23" t="s">
        <v>1164</v>
      </c>
      <c r="D296" s="23" t="s">
        <v>42</v>
      </c>
      <c r="E296" s="23" t="s">
        <v>1165</v>
      </c>
      <c r="F296" s="23" t="s">
        <v>1166</v>
      </c>
      <c r="G296" s="23" t="s">
        <v>264</v>
      </c>
      <c r="H296" s="32" t="s">
        <v>45</v>
      </c>
      <c r="I296" s="23" t="s">
        <v>37</v>
      </c>
      <c r="J296" s="23" t="s">
        <v>1167</v>
      </c>
      <c r="K296" s="23" t="s">
        <v>1168</v>
      </c>
      <c r="L296" s="23" t="n">
        <v>7400</v>
      </c>
      <c r="M296" s="23" t="n">
        <v>1951</v>
      </c>
      <c r="N296" s="23" t="n">
        <v>3</v>
      </c>
      <c r="O296" s="23" t="n">
        <v>31</v>
      </c>
      <c r="P296" s="23" t="n">
        <v>117.24</v>
      </c>
      <c r="Q296" s="24" t="n">
        <v>21427700000000</v>
      </c>
      <c r="R296" s="23" t="n">
        <v>78.5</v>
      </c>
      <c r="S296" s="23" t="n">
        <v>9.6</v>
      </c>
      <c r="T296" s="23" t="n">
        <v>36.6</v>
      </c>
      <c r="U296" s="23" t="n">
        <v>328239523</v>
      </c>
      <c r="V296" s="33" t="n">
        <f aca="false">YEARFRAC(W296,X296,1)</f>
        <v>74.8090349075975</v>
      </c>
      <c r="W296" s="34" t="n">
        <f aca="false">DATE(M296,N296,O296)</f>
        <v>18718</v>
      </c>
      <c r="X296" s="34" t="n">
        <f aca="true">TODAY()</f>
        <v>46042</v>
      </c>
    </row>
    <row r="297" customFormat="false" ht="15" hidden="false" customHeight="false" outlineLevel="0" collapsed="false">
      <c r="A297" s="23" t="n">
        <v>305</v>
      </c>
      <c r="B297" s="23" t="s">
        <v>584</v>
      </c>
      <c r="C297" s="23" t="s">
        <v>1169</v>
      </c>
      <c r="D297" s="23" t="s">
        <v>1170</v>
      </c>
      <c r="E297" s="23" t="s">
        <v>1171</v>
      </c>
      <c r="F297" s="23" t="s">
        <v>1172</v>
      </c>
      <c r="G297" s="23" t="s">
        <v>584</v>
      </c>
      <c r="H297" s="32" t="s">
        <v>36</v>
      </c>
      <c r="I297" s="23" t="s">
        <v>37</v>
      </c>
      <c r="J297" s="23" t="s">
        <v>1173</v>
      </c>
      <c r="K297" s="23" t="s">
        <v>1174</v>
      </c>
      <c r="L297" s="23" t="n">
        <v>7400</v>
      </c>
      <c r="M297" s="23" t="n">
        <v>1961</v>
      </c>
      <c r="N297" s="23" t="n">
        <v>1</v>
      </c>
      <c r="O297" s="23" t="n">
        <v>19</v>
      </c>
      <c r="P297" s="23" t="n">
        <v>288.57</v>
      </c>
      <c r="Q297" s="24" t="n">
        <v>303175127598</v>
      </c>
      <c r="R297" s="23" t="n">
        <v>71.8</v>
      </c>
      <c r="S297" s="23" t="n">
        <v>12.5</v>
      </c>
      <c r="T297" s="23" t="n">
        <v>44.4</v>
      </c>
      <c r="U297" s="23" t="n">
        <v>100388073</v>
      </c>
      <c r="V297" s="33" t="n">
        <f aca="false">YEARFRAC(W297,X297,1)</f>
        <v>65.0034016427446</v>
      </c>
      <c r="W297" s="34" t="n">
        <f aca="false">DATE(M297,N297,O297)</f>
        <v>22300</v>
      </c>
      <c r="X297" s="34" t="n">
        <f aca="true">TODAY()</f>
        <v>46042</v>
      </c>
    </row>
    <row r="298" customFormat="false" ht="15" hidden="false" customHeight="false" outlineLevel="0" collapsed="false">
      <c r="A298" s="23" t="n">
        <v>305</v>
      </c>
      <c r="B298" s="23" t="s">
        <v>124</v>
      </c>
      <c r="C298" s="23" t="s">
        <v>1175</v>
      </c>
      <c r="D298" s="23" t="s">
        <v>42</v>
      </c>
      <c r="E298" s="23" t="s">
        <v>1176</v>
      </c>
      <c r="F298" s="23" t="s">
        <v>1177</v>
      </c>
      <c r="G298" s="23" t="s">
        <v>124</v>
      </c>
      <c r="H298" s="32" t="s">
        <v>45</v>
      </c>
      <c r="I298" s="23" t="s">
        <v>37</v>
      </c>
      <c r="J298" s="23" t="s">
        <v>1178</v>
      </c>
      <c r="K298" s="23" t="s">
        <v>613</v>
      </c>
      <c r="L298" s="23" t="n">
        <v>7400</v>
      </c>
      <c r="M298" s="23" t="n">
        <v>1941</v>
      </c>
      <c r="N298" s="23" t="n">
        <v>11</v>
      </c>
      <c r="O298" s="23" t="n">
        <v>30</v>
      </c>
      <c r="P298" s="23" t="n">
        <v>117.24</v>
      </c>
      <c r="Q298" s="24" t="n">
        <v>21427700000000</v>
      </c>
      <c r="R298" s="23" t="n">
        <v>78.5</v>
      </c>
      <c r="S298" s="23" t="n">
        <v>9.6</v>
      </c>
      <c r="T298" s="23" t="n">
        <v>36.6</v>
      </c>
      <c r="U298" s="23" t="n">
        <v>328239523</v>
      </c>
      <c r="V298" s="33" t="n">
        <f aca="false">YEARFRAC(W298,X298,1)</f>
        <v>84.140969723982</v>
      </c>
      <c r="W298" s="34" t="n">
        <f aca="false">DATE(M298,N298,O298)</f>
        <v>15310</v>
      </c>
      <c r="X298" s="34" t="n">
        <f aca="true">TODAY()</f>
        <v>46042</v>
      </c>
    </row>
    <row r="299" customFormat="false" ht="15" hidden="false" customHeight="false" outlineLevel="0" collapsed="false">
      <c r="A299" s="23" t="n">
        <v>312</v>
      </c>
      <c r="B299" s="23" t="s">
        <v>264</v>
      </c>
      <c r="C299" s="23" t="s">
        <v>1179</v>
      </c>
      <c r="D299" s="23" t="s">
        <v>91</v>
      </c>
      <c r="E299" s="23" t="s">
        <v>1180</v>
      </c>
      <c r="F299" s="23" t="s">
        <v>1181</v>
      </c>
      <c r="G299" s="23" t="s">
        <v>264</v>
      </c>
      <c r="H299" s="32" t="s">
        <v>36</v>
      </c>
      <c r="I299" s="23" t="s">
        <v>37</v>
      </c>
      <c r="J299" s="23" t="s">
        <v>1182</v>
      </c>
      <c r="K299" s="23" t="s">
        <v>1183</v>
      </c>
      <c r="L299" s="23" t="n">
        <v>7300</v>
      </c>
      <c r="M299" s="23" t="n">
        <v>1931</v>
      </c>
      <c r="N299" s="23" t="n">
        <v>6</v>
      </c>
      <c r="O299" s="23" t="n">
        <v>1</v>
      </c>
      <c r="P299" s="23" t="n">
        <v>180.44</v>
      </c>
      <c r="Q299" s="24" t="n">
        <v>2611000000000</v>
      </c>
      <c r="R299" s="23" t="n">
        <v>69.4</v>
      </c>
      <c r="S299" s="23" t="n">
        <v>11.2</v>
      </c>
      <c r="T299" s="23" t="n">
        <v>49.7</v>
      </c>
      <c r="U299" s="23" t="n">
        <v>1366417754</v>
      </c>
      <c r="V299" s="33" t="n">
        <f aca="false">YEARFRAC(W299,X299,1)</f>
        <v>94.6392881587954</v>
      </c>
      <c r="W299" s="34" t="n">
        <f aca="false">DATE(M299,N299,O299)</f>
        <v>11475</v>
      </c>
      <c r="X299" s="34" t="n">
        <f aca="true">TODAY()</f>
        <v>46042</v>
      </c>
    </row>
    <row r="300" customFormat="false" ht="15" hidden="false" customHeight="false" outlineLevel="0" collapsed="false">
      <c r="A300" s="23" t="n">
        <v>312</v>
      </c>
      <c r="B300" s="23" t="s">
        <v>286</v>
      </c>
      <c r="C300" s="23" t="s">
        <v>1184</v>
      </c>
      <c r="D300" s="23" t="s">
        <v>338</v>
      </c>
      <c r="E300" s="23" t="s">
        <v>339</v>
      </c>
      <c r="F300" s="23" t="s">
        <v>1185</v>
      </c>
      <c r="G300" s="23" t="s">
        <v>286</v>
      </c>
      <c r="H300" s="32" t="s">
        <v>45</v>
      </c>
      <c r="I300" s="23" t="s">
        <v>37</v>
      </c>
      <c r="J300" s="23" t="s">
        <v>1186</v>
      </c>
      <c r="K300" s="23" t="s">
        <v>1187</v>
      </c>
      <c r="L300" s="23" t="n">
        <v>7300</v>
      </c>
      <c r="M300" s="23" t="n">
        <v>1963</v>
      </c>
      <c r="N300" s="23" t="n">
        <v>12</v>
      </c>
      <c r="O300" s="23" t="n">
        <v>5</v>
      </c>
      <c r="P300" s="23" t="n">
        <v>180.75</v>
      </c>
      <c r="Q300" s="24" t="n">
        <v>1699876578871</v>
      </c>
      <c r="R300" s="23" t="n">
        <v>72.7</v>
      </c>
      <c r="S300" s="23" t="n">
        <v>11.4</v>
      </c>
      <c r="T300" s="23" t="n">
        <v>46.2</v>
      </c>
      <c r="U300" s="23" t="n">
        <v>144373535</v>
      </c>
      <c r="V300" s="33" t="n">
        <f aca="false">YEARFRAC(W300,X300,1)</f>
        <v>62.1273100616016</v>
      </c>
      <c r="W300" s="34" t="n">
        <f aca="false">DATE(M300,N300,O300)</f>
        <v>23350</v>
      </c>
      <c r="X300" s="34" t="n">
        <f aca="true">TODAY()</f>
        <v>46042</v>
      </c>
    </row>
    <row r="301" customFormat="false" ht="15" hidden="false" customHeight="false" outlineLevel="0" collapsed="false">
      <c r="A301" s="23" t="n">
        <v>312</v>
      </c>
      <c r="B301" s="23" t="s">
        <v>31</v>
      </c>
      <c r="C301" s="23" t="s">
        <v>1188</v>
      </c>
      <c r="D301" s="23" t="s">
        <v>1189</v>
      </c>
      <c r="E301" s="23" t="s">
        <v>1190</v>
      </c>
      <c r="F301" s="23" t="s">
        <v>237</v>
      </c>
      <c r="G301" s="23" t="s">
        <v>31</v>
      </c>
      <c r="H301" s="32" t="s">
        <v>36</v>
      </c>
      <c r="I301" s="23" t="s">
        <v>37</v>
      </c>
      <c r="J301" s="23" t="s">
        <v>1191</v>
      </c>
      <c r="K301" s="23" t="s">
        <v>1192</v>
      </c>
      <c r="L301" s="23" t="n">
        <v>7300</v>
      </c>
      <c r="M301" s="23" t="n">
        <v>1972</v>
      </c>
      <c r="N301" s="23" t="n">
        <v>11</v>
      </c>
      <c r="O301" s="23" t="n">
        <v>4</v>
      </c>
      <c r="P301" s="23" t="n">
        <v>110.35</v>
      </c>
      <c r="Q301" s="24" t="n">
        <v>348078018464</v>
      </c>
      <c r="R301" s="23" t="n">
        <v>81</v>
      </c>
      <c r="S301" s="23" t="n">
        <v>32.4</v>
      </c>
      <c r="T301" s="23" t="n">
        <v>23.8</v>
      </c>
      <c r="U301" s="23" t="n">
        <v>5818553</v>
      </c>
      <c r="V301" s="33" t="n">
        <f aca="false">YEARFRAC(W301,X301,1)</f>
        <v>53.2094678679875</v>
      </c>
      <c r="W301" s="34" t="n">
        <f aca="false">DATE(M301,N301,O301)</f>
        <v>26607</v>
      </c>
      <c r="X301" s="34" t="n">
        <f aca="true">TODAY()</f>
        <v>46042</v>
      </c>
    </row>
    <row r="302" customFormat="false" ht="15" hidden="false" customHeight="false" outlineLevel="0" collapsed="false">
      <c r="A302" s="23" t="n">
        <v>312</v>
      </c>
      <c r="B302" s="23" t="s">
        <v>187</v>
      </c>
      <c r="C302" s="23" t="s">
        <v>1193</v>
      </c>
      <c r="D302" s="23" t="s">
        <v>964</v>
      </c>
      <c r="E302" s="23" t="s">
        <v>965</v>
      </c>
      <c r="F302" s="23" t="s">
        <v>1194</v>
      </c>
      <c r="G302" s="23" t="s">
        <v>187</v>
      </c>
      <c r="H302" s="32" t="s">
        <v>36</v>
      </c>
      <c r="I302" s="23" t="s">
        <v>37</v>
      </c>
      <c r="J302" s="23" t="s">
        <v>1195</v>
      </c>
      <c r="K302" s="23" t="s">
        <v>1196</v>
      </c>
      <c r="L302" s="23" t="n">
        <v>7300</v>
      </c>
      <c r="M302" s="23" t="n">
        <v>1960</v>
      </c>
      <c r="N302" s="23" t="n">
        <v>3</v>
      </c>
      <c r="O302" s="23" t="n">
        <v>3</v>
      </c>
      <c r="P302" s="23" t="n">
        <v>129.61</v>
      </c>
      <c r="Q302" s="24" t="n">
        <v>376795508680</v>
      </c>
      <c r="R302" s="23" t="n">
        <v>71.1</v>
      </c>
      <c r="S302" s="23" t="n">
        <v>14</v>
      </c>
      <c r="T302" s="23" t="n">
        <v>43.1</v>
      </c>
      <c r="U302" s="23" t="n">
        <v>108116615</v>
      </c>
      <c r="V302" s="33" t="n">
        <f aca="false">YEARFRAC(W302,X302,1)</f>
        <v>65.882968290291</v>
      </c>
      <c r="W302" s="34" t="n">
        <f aca="false">DATE(M302,N302,O302)</f>
        <v>21978</v>
      </c>
      <c r="X302" s="34" t="n">
        <f aca="true">TODAY()</f>
        <v>46042</v>
      </c>
    </row>
    <row r="303" customFormat="false" ht="15" hidden="false" customHeight="false" outlineLevel="0" collapsed="false">
      <c r="A303" s="23" t="n">
        <v>312</v>
      </c>
      <c r="B303" s="23" t="s">
        <v>49</v>
      </c>
      <c r="C303" s="23" t="s">
        <v>1197</v>
      </c>
      <c r="D303" s="23" t="s">
        <v>126</v>
      </c>
      <c r="E303" s="23" t="s">
        <v>209</v>
      </c>
      <c r="F303" s="23" t="s">
        <v>1198</v>
      </c>
      <c r="G303" s="23" t="s">
        <v>49</v>
      </c>
      <c r="H303" s="32" t="s">
        <v>45</v>
      </c>
      <c r="I303" s="23" t="s">
        <v>103</v>
      </c>
      <c r="J303" s="23" t="s">
        <v>393</v>
      </c>
      <c r="K303" s="23" t="s">
        <v>1199</v>
      </c>
      <c r="L303" s="23" t="n">
        <v>7300</v>
      </c>
      <c r="M303" s="23" t="n">
        <v>1967</v>
      </c>
      <c r="N303" s="23" t="n">
        <v>6</v>
      </c>
      <c r="O303" s="23" t="n">
        <v>3</v>
      </c>
      <c r="P303" s="23" t="n">
        <v>125.08</v>
      </c>
      <c r="Q303" s="24" t="n">
        <v>19910000000000</v>
      </c>
      <c r="R303" s="23" t="n">
        <v>77</v>
      </c>
      <c r="S303" s="23" t="n">
        <v>9.4</v>
      </c>
      <c r="T303" s="23" t="n">
        <v>59.2</v>
      </c>
      <c r="U303" s="23" t="n">
        <v>1397715000</v>
      </c>
      <c r="V303" s="33" t="n">
        <f aca="false">YEARFRAC(W303,X303,1)</f>
        <v>58.6338124572211</v>
      </c>
      <c r="W303" s="34" t="n">
        <f aca="false">DATE(M303,N303,O303)</f>
        <v>24626</v>
      </c>
      <c r="X303" s="34" t="n">
        <f aca="true">TODAY()</f>
        <v>46042</v>
      </c>
    </row>
    <row r="304" customFormat="false" ht="15" hidden="false" customHeight="false" outlineLevel="0" collapsed="false">
      <c r="A304" s="23" t="n">
        <v>317</v>
      </c>
      <c r="B304" s="23" t="s">
        <v>62</v>
      </c>
      <c r="C304" s="23" t="s">
        <v>1200</v>
      </c>
      <c r="D304" s="23" t="s">
        <v>42</v>
      </c>
      <c r="E304" s="23" t="s">
        <v>1201</v>
      </c>
      <c r="F304" s="23" t="s">
        <v>272</v>
      </c>
      <c r="G304" s="23" t="s">
        <v>62</v>
      </c>
      <c r="H304" s="32" t="s">
        <v>45</v>
      </c>
      <c r="I304" s="23" t="s">
        <v>37</v>
      </c>
      <c r="J304" s="23" t="s">
        <v>1202</v>
      </c>
      <c r="K304" s="23" t="s">
        <v>1140</v>
      </c>
      <c r="L304" s="23" t="n">
        <v>7200</v>
      </c>
      <c r="M304" s="23" t="n">
        <v>1957</v>
      </c>
      <c r="N304" s="23" t="n">
        <v>11</v>
      </c>
      <c r="O304" s="23" t="n">
        <v>25</v>
      </c>
      <c r="P304" s="23" t="n">
        <v>117.24</v>
      </c>
      <c r="Q304" s="24" t="n">
        <v>21427700000000</v>
      </c>
      <c r="R304" s="23" t="n">
        <v>78.5</v>
      </c>
      <c r="S304" s="23" t="n">
        <v>9.6</v>
      </c>
      <c r="T304" s="23" t="n">
        <v>36.6</v>
      </c>
      <c r="U304" s="23" t="n">
        <v>328239523</v>
      </c>
      <c r="V304" s="33" t="n">
        <f aca="false">YEARFRAC(W304,X304,1)</f>
        <v>68.1546524817147</v>
      </c>
      <c r="W304" s="34" t="n">
        <f aca="false">DATE(M304,N304,O304)</f>
        <v>21149</v>
      </c>
      <c r="X304" s="34" t="n">
        <f aca="true">TODAY()</f>
        <v>46042</v>
      </c>
    </row>
    <row r="305" customFormat="false" ht="15" hidden="false" customHeight="false" outlineLevel="0" collapsed="false">
      <c r="A305" s="23" t="n">
        <v>317</v>
      </c>
      <c r="B305" s="23" t="s">
        <v>471</v>
      </c>
      <c r="C305" s="23" t="s">
        <v>1203</v>
      </c>
      <c r="D305" s="23" t="s">
        <v>42</v>
      </c>
      <c r="E305" s="23" t="s">
        <v>313</v>
      </c>
      <c r="F305" s="23" t="s">
        <v>1204</v>
      </c>
      <c r="G305" s="23" t="s">
        <v>471</v>
      </c>
      <c r="H305" s="32" t="s">
        <v>45</v>
      </c>
      <c r="I305" s="23" t="s">
        <v>37</v>
      </c>
      <c r="J305" s="23" t="s">
        <v>1205</v>
      </c>
      <c r="K305" s="23" t="s">
        <v>54</v>
      </c>
      <c r="L305" s="23" t="n">
        <v>7200</v>
      </c>
      <c r="M305" s="23" t="n">
        <v>1954</v>
      </c>
      <c r="N305" s="23" t="n">
        <v>12</v>
      </c>
      <c r="O305" s="23" t="n">
        <v>10</v>
      </c>
      <c r="P305" s="23" t="n">
        <v>117.24</v>
      </c>
      <c r="Q305" s="24" t="n">
        <v>21427700000000</v>
      </c>
      <c r="R305" s="23" t="n">
        <v>78.5</v>
      </c>
      <c r="S305" s="23" t="n">
        <v>9.6</v>
      </c>
      <c r="T305" s="23" t="n">
        <v>36.6</v>
      </c>
      <c r="U305" s="23" t="n">
        <v>328239523</v>
      </c>
      <c r="V305" s="33" t="n">
        <f aca="false">YEARFRAC(W305,X305,1)</f>
        <v>71.1136031204291</v>
      </c>
      <c r="W305" s="34" t="n">
        <f aca="false">DATE(M305,N305,O305)</f>
        <v>20068</v>
      </c>
      <c r="X305" s="34" t="n">
        <f aca="true">TODAY()</f>
        <v>46042</v>
      </c>
    </row>
    <row r="306" customFormat="false" ht="15" hidden="false" customHeight="false" outlineLevel="0" collapsed="false">
      <c r="A306" s="23" t="n">
        <v>317</v>
      </c>
      <c r="B306" s="23" t="s">
        <v>62</v>
      </c>
      <c r="C306" s="23" t="s">
        <v>1206</v>
      </c>
      <c r="D306" s="23" t="s">
        <v>42</v>
      </c>
      <c r="E306" s="23" t="s">
        <v>1207</v>
      </c>
      <c r="F306" s="23" t="s">
        <v>1208</v>
      </c>
      <c r="G306" s="23" t="s">
        <v>62</v>
      </c>
      <c r="H306" s="32" t="s">
        <v>45</v>
      </c>
      <c r="I306" s="23" t="s">
        <v>37</v>
      </c>
      <c r="J306" s="23" t="s">
        <v>1209</v>
      </c>
      <c r="K306" s="23" t="s">
        <v>1210</v>
      </c>
      <c r="L306" s="23" t="n">
        <v>7200</v>
      </c>
      <c r="M306" s="23" t="n">
        <v>1943</v>
      </c>
      <c r="N306" s="23" t="n">
        <v>6</v>
      </c>
      <c r="O306" s="23" t="n">
        <v>13</v>
      </c>
      <c r="P306" s="23" t="n">
        <v>117.24</v>
      </c>
      <c r="Q306" s="24" t="n">
        <v>21427700000000</v>
      </c>
      <c r="R306" s="23" t="n">
        <v>78.5</v>
      </c>
      <c r="S306" s="23" t="n">
        <v>9.6</v>
      </c>
      <c r="T306" s="23" t="n">
        <v>36.6</v>
      </c>
      <c r="U306" s="23" t="n">
        <v>328239523</v>
      </c>
      <c r="V306" s="33" t="n">
        <f aca="false">YEARFRAC(W306,X306,1)</f>
        <v>82.6064339493498</v>
      </c>
      <c r="W306" s="34" t="n">
        <f aca="false">DATE(M306,N306,O306)</f>
        <v>15870</v>
      </c>
      <c r="X306" s="34" t="n">
        <f aca="true">TODAY()</f>
        <v>46042</v>
      </c>
    </row>
    <row r="307" customFormat="false" ht="15" hidden="false" customHeight="false" outlineLevel="0" collapsed="false">
      <c r="A307" s="23" t="n">
        <v>317</v>
      </c>
      <c r="B307" s="23" t="s">
        <v>305</v>
      </c>
      <c r="C307" s="23" t="s">
        <v>1211</v>
      </c>
      <c r="D307" s="23" t="s">
        <v>42</v>
      </c>
      <c r="E307" s="23" t="s">
        <v>742</v>
      </c>
      <c r="F307" s="23" t="s">
        <v>1212</v>
      </c>
      <c r="G307" s="23" t="s">
        <v>305</v>
      </c>
      <c r="H307" s="32" t="s">
        <v>45</v>
      </c>
      <c r="I307" s="23" t="s">
        <v>37</v>
      </c>
      <c r="J307" s="23" t="s">
        <v>1213</v>
      </c>
      <c r="K307" s="23" t="s">
        <v>923</v>
      </c>
      <c r="L307" s="23" t="n">
        <v>7200</v>
      </c>
      <c r="M307" s="23" t="n">
        <v>1944</v>
      </c>
      <c r="N307" s="23" t="n">
        <v>10</v>
      </c>
      <c r="O307" s="23" t="n">
        <v>19</v>
      </c>
      <c r="P307" s="23" t="n">
        <v>117.24</v>
      </c>
      <c r="Q307" s="24" t="n">
        <v>21427700000000</v>
      </c>
      <c r="R307" s="23" t="n">
        <v>78.5</v>
      </c>
      <c r="S307" s="23" t="n">
        <v>9.6</v>
      </c>
      <c r="T307" s="23" t="n">
        <v>36.6</v>
      </c>
      <c r="U307" s="23" t="n">
        <v>328239523</v>
      </c>
      <c r="V307" s="33" t="n">
        <f aca="false">YEARFRAC(W307,X307,1)</f>
        <v>81.2532656023222</v>
      </c>
      <c r="W307" s="34" t="n">
        <f aca="false">DATE(M307,N307,O307)</f>
        <v>16364</v>
      </c>
      <c r="X307" s="34" t="n">
        <f aca="true">TODAY()</f>
        <v>46042</v>
      </c>
    </row>
    <row r="308" customFormat="false" ht="15" hidden="false" customHeight="false" outlineLevel="0" collapsed="false">
      <c r="A308" s="23" t="n">
        <v>317</v>
      </c>
      <c r="B308" s="23" t="s">
        <v>62</v>
      </c>
      <c r="C308" s="23" t="s">
        <v>1214</v>
      </c>
      <c r="D308" s="23" t="s">
        <v>318</v>
      </c>
      <c r="E308" s="23" t="s">
        <v>649</v>
      </c>
      <c r="F308" s="23" t="s">
        <v>1215</v>
      </c>
      <c r="G308" s="23" t="s">
        <v>62</v>
      </c>
      <c r="H308" s="32" t="s">
        <v>45</v>
      </c>
      <c r="I308" s="23" t="s">
        <v>37</v>
      </c>
      <c r="J308" s="23" t="s">
        <v>1216</v>
      </c>
      <c r="K308" s="23" t="s">
        <v>1217</v>
      </c>
      <c r="L308" s="23" t="n">
        <v>7200</v>
      </c>
      <c r="M308" s="23" t="n">
        <v>1981</v>
      </c>
      <c r="N308" s="23" t="n">
        <v>8</v>
      </c>
      <c r="O308" s="23" t="n">
        <v>15</v>
      </c>
      <c r="P308" s="23" t="n">
        <v>114.52</v>
      </c>
      <c r="Q308" s="24" t="n">
        <v>421142267938</v>
      </c>
      <c r="R308" s="23" t="n">
        <v>77.8</v>
      </c>
      <c r="S308" s="23" t="n">
        <v>0.1</v>
      </c>
      <c r="T308" s="23" t="n">
        <v>15.9</v>
      </c>
      <c r="U308" s="23" t="n">
        <v>9770529</v>
      </c>
      <c r="V308" s="33" t="n">
        <f aca="false">YEARFRAC(W308,X308,1)</f>
        <v>44.4339027438843</v>
      </c>
      <c r="W308" s="34" t="n">
        <f aca="false">DATE(M308,N308,O308)</f>
        <v>29813</v>
      </c>
      <c r="X308" s="34" t="n">
        <f aca="true">TODAY()</f>
        <v>46042</v>
      </c>
    </row>
    <row r="309" customFormat="false" ht="15" hidden="false" customHeight="false" outlineLevel="0" collapsed="false">
      <c r="A309" s="23" t="n">
        <v>317</v>
      </c>
      <c r="B309" s="23" t="s">
        <v>31</v>
      </c>
      <c r="C309" s="23" t="s">
        <v>1218</v>
      </c>
      <c r="D309" s="23" t="s">
        <v>235</v>
      </c>
      <c r="E309" s="23" t="s">
        <v>236</v>
      </c>
      <c r="F309" s="23" t="s">
        <v>1219</v>
      </c>
      <c r="G309" s="23" t="s">
        <v>31</v>
      </c>
      <c r="H309" s="32" t="s">
        <v>36</v>
      </c>
      <c r="I309" s="23" t="s">
        <v>37</v>
      </c>
      <c r="J309" s="23" t="s">
        <v>1220</v>
      </c>
      <c r="K309" s="23" t="s">
        <v>1221</v>
      </c>
      <c r="L309" s="23" t="n">
        <v>7200</v>
      </c>
      <c r="M309" s="23" t="n">
        <v>1961</v>
      </c>
      <c r="N309" s="23" t="n">
        <v>7</v>
      </c>
      <c r="O309" s="23" t="n">
        <v>12</v>
      </c>
      <c r="P309" s="23" t="n">
        <v>105.48</v>
      </c>
      <c r="Q309" s="24" t="n">
        <v>5081769542380</v>
      </c>
      <c r="R309" s="23" t="n">
        <v>84.2</v>
      </c>
      <c r="S309" s="23" t="n">
        <v>11.9</v>
      </c>
      <c r="T309" s="23" t="n">
        <v>46.7</v>
      </c>
      <c r="U309" s="23" t="n">
        <v>126226568</v>
      </c>
      <c r="V309" s="33" t="n">
        <f aca="false">YEARFRAC(W309,X309,1)</f>
        <v>64.5270057247158</v>
      </c>
      <c r="W309" s="34" t="n">
        <f aca="false">DATE(M309,N309,O309)</f>
        <v>22474</v>
      </c>
      <c r="X309" s="34" t="n">
        <f aca="true">TODAY()</f>
        <v>46042</v>
      </c>
    </row>
    <row r="310" customFormat="false" ht="15" hidden="false" customHeight="false" outlineLevel="0" collapsed="false">
      <c r="A310" s="23" t="n">
        <v>317</v>
      </c>
      <c r="B310" s="23" t="s">
        <v>124</v>
      </c>
      <c r="C310" s="23" t="s">
        <v>1222</v>
      </c>
      <c r="D310" s="23" t="s">
        <v>126</v>
      </c>
      <c r="E310" s="23" t="s">
        <v>127</v>
      </c>
      <c r="F310" s="23" t="s">
        <v>1223</v>
      </c>
      <c r="G310" s="23" t="s">
        <v>124</v>
      </c>
      <c r="H310" s="32" t="s">
        <v>45</v>
      </c>
      <c r="I310" s="23" t="s">
        <v>37</v>
      </c>
      <c r="J310" s="23" t="s">
        <v>1224</v>
      </c>
      <c r="K310" s="23" t="s">
        <v>1225</v>
      </c>
      <c r="L310" s="23" t="n">
        <v>7200</v>
      </c>
      <c r="M310" s="23" t="n">
        <v>1945</v>
      </c>
      <c r="N310" s="23" t="n">
        <v>10</v>
      </c>
      <c r="O310" s="23" t="n">
        <v>1</v>
      </c>
      <c r="P310" s="23" t="n">
        <v>125.08</v>
      </c>
      <c r="Q310" s="24" t="n">
        <v>19910000000000</v>
      </c>
      <c r="R310" s="23" t="n">
        <v>77</v>
      </c>
      <c r="S310" s="23" t="n">
        <v>9.4</v>
      </c>
      <c r="T310" s="23" t="n">
        <v>59.2</v>
      </c>
      <c r="U310" s="23" t="n">
        <v>1397715000</v>
      </c>
      <c r="V310" s="33" t="n">
        <f aca="false">YEARFRAC(W310,X310,1)</f>
        <v>80.3052420701169</v>
      </c>
      <c r="W310" s="34" t="n">
        <f aca="false">DATE(M310,N310,O310)</f>
        <v>16711</v>
      </c>
      <c r="X310" s="34" t="n">
        <f aca="true">TODAY()</f>
        <v>46042</v>
      </c>
    </row>
    <row r="311" customFormat="false" ht="15" hidden="false" customHeight="false" outlineLevel="0" collapsed="false">
      <c r="A311" s="23" t="n">
        <v>325</v>
      </c>
      <c r="B311" s="23" t="s">
        <v>49</v>
      </c>
      <c r="C311" s="23" t="s">
        <v>1226</v>
      </c>
      <c r="D311" s="23" t="s">
        <v>42</v>
      </c>
      <c r="E311" s="23" t="s">
        <v>1227</v>
      </c>
      <c r="F311" s="23" t="s">
        <v>1228</v>
      </c>
      <c r="G311" s="23" t="s">
        <v>49</v>
      </c>
      <c r="H311" s="32" t="s">
        <v>45</v>
      </c>
      <c r="I311" s="23" t="s">
        <v>103</v>
      </c>
      <c r="J311" s="23" t="s">
        <v>1229</v>
      </c>
      <c r="K311" s="23" t="s">
        <v>701</v>
      </c>
      <c r="L311" s="23" t="n">
        <v>7100</v>
      </c>
      <c r="M311" s="23" t="n">
        <v>1943</v>
      </c>
      <c r="N311" s="23" t="n">
        <v>8</v>
      </c>
      <c r="O311" s="23" t="n">
        <v>1</v>
      </c>
      <c r="P311" s="23" t="n">
        <v>117.24</v>
      </c>
      <c r="Q311" s="24" t="n">
        <v>21427700000000</v>
      </c>
      <c r="R311" s="23" t="n">
        <v>78.5</v>
      </c>
      <c r="S311" s="23" t="n">
        <v>9.6</v>
      </c>
      <c r="T311" s="23" t="n">
        <v>36.6</v>
      </c>
      <c r="U311" s="23" t="n">
        <v>328239523</v>
      </c>
      <c r="V311" s="33" t="n">
        <f aca="false">YEARFRAC(W311,X311,1)</f>
        <v>82.4722792607803</v>
      </c>
      <c r="W311" s="34" t="n">
        <f aca="false">DATE(M311,N311,O311)</f>
        <v>15919</v>
      </c>
      <c r="X311" s="34" t="n">
        <f aca="true">TODAY()</f>
        <v>46042</v>
      </c>
    </row>
    <row r="312" customFormat="false" ht="15" hidden="false" customHeight="false" outlineLevel="0" collapsed="false">
      <c r="A312" s="23" t="n">
        <v>325</v>
      </c>
      <c r="B312" s="23" t="s">
        <v>213</v>
      </c>
      <c r="C312" s="23" t="s">
        <v>1230</v>
      </c>
      <c r="D312" s="23" t="s">
        <v>225</v>
      </c>
      <c r="E312" s="23" t="s">
        <v>1077</v>
      </c>
      <c r="F312" s="23" t="s">
        <v>1231</v>
      </c>
      <c r="G312" s="23" t="s">
        <v>213</v>
      </c>
      <c r="H312" s="32" t="s">
        <v>45</v>
      </c>
      <c r="I312" s="23" t="s">
        <v>37</v>
      </c>
      <c r="J312" s="23" t="s">
        <v>1232</v>
      </c>
      <c r="K312" s="23" t="s">
        <v>690</v>
      </c>
      <c r="L312" s="23" t="n">
        <v>7100</v>
      </c>
      <c r="M312" s="23" t="n">
        <v>1947</v>
      </c>
      <c r="N312" s="23" t="n">
        <v>1</v>
      </c>
      <c r="O312" s="23" t="n">
        <v>3</v>
      </c>
      <c r="P312" s="23" t="n">
        <v>118.06</v>
      </c>
      <c r="Q312" s="24" t="n">
        <v>446314739528</v>
      </c>
      <c r="R312" s="23" t="n">
        <v>81.6</v>
      </c>
      <c r="S312" s="23" t="n">
        <v>25.4</v>
      </c>
      <c r="T312" s="23" t="n">
        <v>51.4</v>
      </c>
      <c r="U312" s="23" t="n">
        <v>8877067</v>
      </c>
      <c r="V312" s="33" t="n">
        <f aca="false">YEARFRAC(W312,X312,1)</f>
        <v>79.047227926078</v>
      </c>
      <c r="W312" s="34" t="n">
        <f aca="false">DATE(M312,N312,O312)</f>
        <v>17170</v>
      </c>
      <c r="X312" s="34" t="n">
        <f aca="true">TODAY()</f>
        <v>46042</v>
      </c>
    </row>
    <row r="313" customFormat="false" ht="15" hidden="false" customHeight="false" outlineLevel="0" collapsed="false">
      <c r="A313" s="23" t="n">
        <v>325</v>
      </c>
      <c r="B313" s="23" t="s">
        <v>390</v>
      </c>
      <c r="C313" s="23" t="s">
        <v>1233</v>
      </c>
      <c r="D313" s="23" t="s">
        <v>42</v>
      </c>
      <c r="E313" s="23" t="s">
        <v>1234</v>
      </c>
      <c r="F313" s="23" t="s">
        <v>1235</v>
      </c>
      <c r="G313" s="23" t="s">
        <v>390</v>
      </c>
      <c r="H313" s="32" t="s">
        <v>36</v>
      </c>
      <c r="I313" s="23" t="s">
        <v>103</v>
      </c>
      <c r="J313" s="23" t="s">
        <v>1236</v>
      </c>
      <c r="K313" s="23" t="s">
        <v>1237</v>
      </c>
      <c r="L313" s="23" t="n">
        <v>7100</v>
      </c>
      <c r="M313" s="23" t="n">
        <v>1961</v>
      </c>
      <c r="N313" s="23" t="n">
        <v>11</v>
      </c>
      <c r="O313" s="23" t="n">
        <v>16</v>
      </c>
      <c r="P313" s="23" t="n">
        <v>117.24</v>
      </c>
      <c r="Q313" s="24" t="n">
        <v>21427700000000</v>
      </c>
      <c r="R313" s="23" t="n">
        <v>78.5</v>
      </c>
      <c r="S313" s="23" t="n">
        <v>9.6</v>
      </c>
      <c r="T313" s="23" t="n">
        <v>36.6</v>
      </c>
      <c r="U313" s="23" t="n">
        <v>328239523</v>
      </c>
      <c r="V313" s="33" t="n">
        <f aca="false">YEARFRAC(W313,X313,1)</f>
        <v>64.1792914627064</v>
      </c>
      <c r="W313" s="34" t="n">
        <f aca="false">DATE(M313,N313,O313)</f>
        <v>22601</v>
      </c>
      <c r="X313" s="34" t="n">
        <f aca="true">TODAY()</f>
        <v>46042</v>
      </c>
    </row>
    <row r="314" customFormat="false" ht="15" hidden="false" customHeight="false" outlineLevel="0" collapsed="false">
      <c r="A314" s="23" t="n">
        <v>325</v>
      </c>
      <c r="B314" s="23" t="s">
        <v>264</v>
      </c>
      <c r="C314" s="23" t="s">
        <v>1238</v>
      </c>
      <c r="D314" s="23" t="s">
        <v>126</v>
      </c>
      <c r="E314" s="23" t="s">
        <v>579</v>
      </c>
      <c r="F314" s="23" t="s">
        <v>1239</v>
      </c>
      <c r="G314" s="23" t="s">
        <v>264</v>
      </c>
      <c r="H314" s="32" t="s">
        <v>45</v>
      </c>
      <c r="I314" s="23" t="s">
        <v>37</v>
      </c>
      <c r="J314" s="23" t="s">
        <v>1240</v>
      </c>
      <c r="K314" s="23" t="s">
        <v>1241</v>
      </c>
      <c r="L314" s="23" t="n">
        <v>7100</v>
      </c>
      <c r="M314" s="23" t="n">
        <v>1956</v>
      </c>
      <c r="N314" s="23" t="n">
        <v>12</v>
      </c>
      <c r="O314" s="23" t="n">
        <v>14</v>
      </c>
      <c r="P314" s="23" t="n">
        <v>125.08</v>
      </c>
      <c r="Q314" s="24" t="n">
        <v>19910000000000</v>
      </c>
      <c r="R314" s="23" t="n">
        <v>77</v>
      </c>
      <c r="S314" s="23" t="n">
        <v>9.4</v>
      </c>
      <c r="T314" s="23" t="n">
        <v>59.2</v>
      </c>
      <c r="U314" s="23" t="n">
        <v>1397715000</v>
      </c>
      <c r="V314" s="33" t="n">
        <f aca="false">YEARFRAC(W314,X314,1)</f>
        <v>69.099949870821</v>
      </c>
      <c r="W314" s="34" t="n">
        <f aca="false">DATE(M314,N314,O314)</f>
        <v>20803</v>
      </c>
      <c r="X314" s="34" t="n">
        <f aca="true">TODAY()</f>
        <v>46042</v>
      </c>
    </row>
    <row r="315" customFormat="false" ht="15" hidden="false" customHeight="false" outlineLevel="0" collapsed="false">
      <c r="A315" s="23" t="n">
        <v>325</v>
      </c>
      <c r="B315" s="23" t="s">
        <v>360</v>
      </c>
      <c r="C315" s="23" t="s">
        <v>1242</v>
      </c>
      <c r="D315" s="23" t="s">
        <v>189</v>
      </c>
      <c r="E315" s="23" t="s">
        <v>1243</v>
      </c>
      <c r="F315" s="23" t="s">
        <v>1244</v>
      </c>
      <c r="G315" s="23" t="s">
        <v>360</v>
      </c>
      <c r="H315" s="32" t="s">
        <v>36</v>
      </c>
      <c r="I315" s="23" t="s">
        <v>37</v>
      </c>
      <c r="J315" s="23" t="s">
        <v>1245</v>
      </c>
      <c r="K315" s="23" t="s">
        <v>1246</v>
      </c>
      <c r="L315" s="23" t="n">
        <v>7100</v>
      </c>
      <c r="M315" s="23" t="n">
        <v>1950</v>
      </c>
      <c r="N315" s="23" t="n">
        <v>10</v>
      </c>
      <c r="O315" s="23" t="n">
        <v>30</v>
      </c>
      <c r="P315" s="23" t="n">
        <v>99.55</v>
      </c>
      <c r="Q315" s="24" t="n">
        <v>703082435360</v>
      </c>
      <c r="R315" s="23" t="n">
        <v>83.6</v>
      </c>
      <c r="S315" s="23" t="n">
        <v>10.1</v>
      </c>
      <c r="T315" s="23" t="n">
        <v>28.8</v>
      </c>
      <c r="U315" s="23" t="n">
        <v>8574832</v>
      </c>
      <c r="V315" s="33" t="n">
        <f aca="false">YEARFRAC(W315,X315,1)</f>
        <v>75.2258569193571</v>
      </c>
      <c r="W315" s="34" t="n">
        <f aca="false">DATE(M315,N315,O315)</f>
        <v>18566</v>
      </c>
      <c r="X315" s="34" t="n">
        <f aca="true">TODAY()</f>
        <v>46042</v>
      </c>
    </row>
    <row r="316" customFormat="false" ht="15" hidden="false" customHeight="false" outlineLevel="0" collapsed="false">
      <c r="A316" s="23" t="n">
        <v>325</v>
      </c>
      <c r="B316" s="23" t="s">
        <v>62</v>
      </c>
      <c r="C316" s="23" t="s">
        <v>1247</v>
      </c>
      <c r="D316" s="23" t="s">
        <v>561</v>
      </c>
      <c r="E316" s="23" t="s">
        <v>561</v>
      </c>
      <c r="F316" s="23" t="s">
        <v>487</v>
      </c>
      <c r="G316" s="23" t="s">
        <v>62</v>
      </c>
      <c r="H316" s="32" t="s">
        <v>36</v>
      </c>
      <c r="I316" s="23" t="s">
        <v>37</v>
      </c>
      <c r="J316" s="23" t="s">
        <v>1248</v>
      </c>
      <c r="K316" s="23" t="s">
        <v>1249</v>
      </c>
      <c r="L316" s="23" t="n">
        <v>7100</v>
      </c>
      <c r="M316" s="23" t="n">
        <v>1929</v>
      </c>
      <c r="N316" s="23" t="n">
        <v>1</v>
      </c>
      <c r="O316" s="23" t="n">
        <v>10</v>
      </c>
      <c r="P316" s="23" t="n">
        <v>114.41</v>
      </c>
      <c r="Q316" s="24" t="n">
        <v>372062527489</v>
      </c>
      <c r="R316" s="23" t="n">
        <v>83.1</v>
      </c>
      <c r="S316" s="23" t="n">
        <v>13.1</v>
      </c>
      <c r="T316" s="23" t="n">
        <v>21</v>
      </c>
      <c r="U316" s="23" t="n">
        <v>5703569</v>
      </c>
      <c r="V316" s="33" t="n">
        <f aca="false">YEARFRAC(W316,X316,1)</f>
        <v>97.0280493937531</v>
      </c>
      <c r="W316" s="34" t="n">
        <f aca="false">DATE(M316,N316,O316)</f>
        <v>10603</v>
      </c>
      <c r="X316" s="34" t="n">
        <f aca="true">TODAY()</f>
        <v>46042</v>
      </c>
    </row>
    <row r="317" customFormat="false" ht="15" hidden="false" customHeight="false" outlineLevel="0" collapsed="false">
      <c r="A317" s="23" t="n">
        <v>325</v>
      </c>
      <c r="B317" s="23" t="s">
        <v>264</v>
      </c>
      <c r="C317" s="23" t="s">
        <v>1250</v>
      </c>
      <c r="D317" s="23" t="s">
        <v>126</v>
      </c>
      <c r="E317" s="23" t="s">
        <v>825</v>
      </c>
      <c r="F317" s="23" t="s">
        <v>1251</v>
      </c>
      <c r="G317" s="23" t="s">
        <v>264</v>
      </c>
      <c r="H317" s="32" t="s">
        <v>45</v>
      </c>
      <c r="I317" s="23" t="s">
        <v>37</v>
      </c>
      <c r="J317" s="23" t="s">
        <v>175</v>
      </c>
      <c r="K317" s="23" t="s">
        <v>1252</v>
      </c>
      <c r="L317" s="23" t="n">
        <v>7100</v>
      </c>
      <c r="M317" s="23" t="n">
        <v>1952</v>
      </c>
      <c r="N317" s="23" t="n">
        <v>1</v>
      </c>
      <c r="O317" s="23" t="n">
        <v>1</v>
      </c>
      <c r="P317" s="23" t="n">
        <v>125.08</v>
      </c>
      <c r="Q317" s="24" t="n">
        <v>19910000000000</v>
      </c>
      <c r="R317" s="23" t="n">
        <v>77</v>
      </c>
      <c r="S317" s="23" t="n">
        <v>9.4</v>
      </c>
      <c r="T317" s="23" t="n">
        <v>59.2</v>
      </c>
      <c r="U317" s="23" t="n">
        <v>1397715000</v>
      </c>
      <c r="V317" s="33" t="n">
        <f aca="false">YEARFRAC(W317,X317,1)</f>
        <v>74.0527122727605</v>
      </c>
      <c r="W317" s="34" t="n">
        <f aca="false">DATE(M317,N317,O317)</f>
        <v>18994</v>
      </c>
      <c r="X317" s="34" t="n">
        <f aca="true">TODAY()</f>
        <v>46042</v>
      </c>
    </row>
    <row r="318" customFormat="false" ht="15" hidden="false" customHeight="false" outlineLevel="0" collapsed="false">
      <c r="A318" s="23" t="n">
        <v>332</v>
      </c>
      <c r="B318" s="23" t="s">
        <v>49</v>
      </c>
      <c r="C318" s="23" t="s">
        <v>1253</v>
      </c>
      <c r="D318" s="23" t="s">
        <v>42</v>
      </c>
      <c r="E318" s="23" t="s">
        <v>854</v>
      </c>
      <c r="F318" s="23" t="s">
        <v>739</v>
      </c>
      <c r="G318" s="23" t="s">
        <v>49</v>
      </c>
      <c r="H318" s="32" t="s">
        <v>45</v>
      </c>
      <c r="I318" s="23" t="s">
        <v>37</v>
      </c>
      <c r="J318" s="23" t="s">
        <v>1254</v>
      </c>
      <c r="K318" s="23" t="s">
        <v>1255</v>
      </c>
      <c r="L318" s="23" t="n">
        <v>7000</v>
      </c>
      <c r="M318" s="23" t="n">
        <v>1964</v>
      </c>
      <c r="N318" s="23" t="n">
        <v>9</v>
      </c>
      <c r="O318" s="23" t="n">
        <v>25</v>
      </c>
      <c r="P318" s="23" t="n">
        <v>117.24</v>
      </c>
      <c r="Q318" s="24" t="n">
        <v>21427700000000</v>
      </c>
      <c r="R318" s="23" t="n">
        <v>78.5</v>
      </c>
      <c r="S318" s="23" t="n">
        <v>9.6</v>
      </c>
      <c r="T318" s="23" t="n">
        <v>36.6</v>
      </c>
      <c r="U318" s="23" t="n">
        <v>328239523</v>
      </c>
      <c r="V318" s="33" t="n">
        <f aca="false">YEARFRAC(W318,X318,1)</f>
        <v>61.3189778801443</v>
      </c>
      <c r="W318" s="34" t="n">
        <f aca="false">DATE(M318,N318,O318)</f>
        <v>23645</v>
      </c>
      <c r="X318" s="34" t="n">
        <f aca="true">TODAY()</f>
        <v>46042</v>
      </c>
    </row>
    <row r="319" customFormat="false" ht="15" hidden="false" customHeight="false" outlineLevel="0" collapsed="false">
      <c r="A319" s="23" t="n">
        <v>332</v>
      </c>
      <c r="B319" s="23" t="s">
        <v>75</v>
      </c>
      <c r="C319" s="23" t="s">
        <v>1256</v>
      </c>
      <c r="D319" s="23" t="s">
        <v>241</v>
      </c>
      <c r="E319" s="23" t="s">
        <v>242</v>
      </c>
      <c r="F319" s="23" t="s">
        <v>294</v>
      </c>
      <c r="G319" s="23" t="s">
        <v>75</v>
      </c>
      <c r="H319" s="32" t="s">
        <v>45</v>
      </c>
      <c r="I319" s="23" t="s">
        <v>37</v>
      </c>
      <c r="J319" s="23" t="s">
        <v>1257</v>
      </c>
      <c r="K319" s="23" t="s">
        <v>1258</v>
      </c>
      <c r="L319" s="23" t="n">
        <v>7000</v>
      </c>
      <c r="M319" s="23" t="n">
        <v>1985</v>
      </c>
      <c r="N319" s="23" t="n">
        <v>5</v>
      </c>
      <c r="O319" s="23" t="n">
        <v>27</v>
      </c>
      <c r="P319" s="23" t="n">
        <v>119.62</v>
      </c>
      <c r="Q319" s="24" t="n">
        <v>2827113184696</v>
      </c>
      <c r="R319" s="23" t="n">
        <v>81.3</v>
      </c>
      <c r="S319" s="23" t="n">
        <v>25.5</v>
      </c>
      <c r="T319" s="23" t="n">
        <v>30.6</v>
      </c>
      <c r="U319" s="23" t="n">
        <v>66834405</v>
      </c>
      <c r="V319" s="33" t="n">
        <f aca="false">YEARFRAC(W319,X319,1)</f>
        <v>40.6529335071708</v>
      </c>
      <c r="W319" s="34" t="n">
        <f aca="false">DATE(M319,N319,O319)</f>
        <v>31194</v>
      </c>
      <c r="X319" s="34" t="n">
        <f aca="true">TODAY()</f>
        <v>46042</v>
      </c>
    </row>
    <row r="320" customFormat="false" ht="15" hidden="false" customHeight="false" outlineLevel="0" collapsed="false">
      <c r="A320" s="23" t="n">
        <v>332</v>
      </c>
      <c r="B320" s="23" t="s">
        <v>75</v>
      </c>
      <c r="C320" s="23" t="s">
        <v>1259</v>
      </c>
      <c r="D320" s="23" t="s">
        <v>241</v>
      </c>
      <c r="E320" s="23" t="s">
        <v>242</v>
      </c>
      <c r="F320" s="23" t="s">
        <v>294</v>
      </c>
      <c r="G320" s="23" t="s">
        <v>75</v>
      </c>
      <c r="H320" s="32" t="s">
        <v>45</v>
      </c>
      <c r="I320" s="23" t="s">
        <v>37</v>
      </c>
      <c r="J320" s="23" t="s">
        <v>1257</v>
      </c>
      <c r="K320" s="23" t="s">
        <v>1260</v>
      </c>
      <c r="L320" s="23" t="n">
        <v>7000</v>
      </c>
      <c r="M320" s="23" t="n">
        <v>1982</v>
      </c>
      <c r="N320" s="23" t="n">
        <v>3</v>
      </c>
      <c r="O320" s="23" t="n">
        <v>29</v>
      </c>
      <c r="P320" s="23" t="n">
        <v>119.62</v>
      </c>
      <c r="Q320" s="24" t="n">
        <v>2827113184696</v>
      </c>
      <c r="R320" s="23" t="n">
        <v>81.3</v>
      </c>
      <c r="S320" s="23" t="n">
        <v>25.5</v>
      </c>
      <c r="T320" s="23" t="n">
        <v>30.6</v>
      </c>
      <c r="U320" s="23" t="n">
        <v>66834405</v>
      </c>
      <c r="V320" s="33" t="n">
        <f aca="false">YEARFRAC(W320,X320,1)</f>
        <v>43.8144925772694</v>
      </c>
      <c r="W320" s="34" t="n">
        <f aca="false">DATE(M320,N320,O320)</f>
        <v>30039</v>
      </c>
      <c r="X320" s="34" t="n">
        <f aca="true">TODAY()</f>
        <v>46042</v>
      </c>
    </row>
    <row r="321" customFormat="false" ht="15" hidden="false" customHeight="false" outlineLevel="0" collapsed="false">
      <c r="A321" s="23" t="n">
        <v>332</v>
      </c>
      <c r="B321" s="23" t="s">
        <v>49</v>
      </c>
      <c r="C321" s="23" t="s">
        <v>1261</v>
      </c>
      <c r="D321" s="23" t="s">
        <v>42</v>
      </c>
      <c r="E321" s="23" t="s">
        <v>1262</v>
      </c>
      <c r="F321" s="23" t="s">
        <v>1263</v>
      </c>
      <c r="G321" s="23" t="s">
        <v>49</v>
      </c>
      <c r="H321" s="32" t="s">
        <v>45</v>
      </c>
      <c r="I321" s="23" t="s">
        <v>37</v>
      </c>
      <c r="J321" s="23" t="s">
        <v>1264</v>
      </c>
      <c r="K321" s="23" t="s">
        <v>344</v>
      </c>
      <c r="L321" s="23" t="n">
        <v>7000</v>
      </c>
      <c r="M321" s="23" t="n">
        <v>1945</v>
      </c>
      <c r="N321" s="23" t="n">
        <v>7</v>
      </c>
      <c r="O321" s="23" t="n">
        <v>23</v>
      </c>
      <c r="P321" s="23" t="n">
        <v>117.24</v>
      </c>
      <c r="Q321" s="24" t="n">
        <v>21427700000000</v>
      </c>
      <c r="R321" s="23" t="n">
        <v>78.5</v>
      </c>
      <c r="S321" s="23" t="n">
        <v>9.6</v>
      </c>
      <c r="T321" s="23" t="n">
        <v>36.6</v>
      </c>
      <c r="U321" s="23" t="n">
        <v>328239523</v>
      </c>
      <c r="V321" s="33" t="n">
        <f aca="false">YEARFRAC(W321,X321,1)</f>
        <v>80.4968948247079</v>
      </c>
      <c r="W321" s="34" t="n">
        <f aca="false">DATE(M321,N321,O321)</f>
        <v>16641</v>
      </c>
      <c r="X321" s="34" t="n">
        <f aca="true">TODAY()</f>
        <v>46042</v>
      </c>
    </row>
    <row r="322" customFormat="false" ht="15" hidden="false" customHeight="false" outlineLevel="0" collapsed="false">
      <c r="A322" s="23" t="n">
        <v>332</v>
      </c>
      <c r="B322" s="23" t="s">
        <v>264</v>
      </c>
      <c r="C322" s="23" t="s">
        <v>1265</v>
      </c>
      <c r="D322" s="23" t="s">
        <v>91</v>
      </c>
      <c r="E322" s="23" t="s">
        <v>92</v>
      </c>
      <c r="F322" s="23" t="s">
        <v>562</v>
      </c>
      <c r="G322" s="23" t="s">
        <v>264</v>
      </c>
      <c r="H322" s="32" t="s">
        <v>36</v>
      </c>
      <c r="I322" s="23" t="s">
        <v>37</v>
      </c>
      <c r="J322" s="23" t="s">
        <v>1266</v>
      </c>
      <c r="K322" s="23" t="s">
        <v>1267</v>
      </c>
      <c r="L322" s="23" t="n">
        <v>7000</v>
      </c>
      <c r="M322" s="23" t="n">
        <v>1942</v>
      </c>
      <c r="N322" s="23" t="n">
        <v>10</v>
      </c>
      <c r="O322" s="23" t="n">
        <v>24</v>
      </c>
      <c r="P322" s="23" t="n">
        <v>180.44</v>
      </c>
      <c r="Q322" s="24" t="n">
        <v>2611000000000</v>
      </c>
      <c r="R322" s="23" t="n">
        <v>69.4</v>
      </c>
      <c r="S322" s="23" t="n">
        <v>11.2</v>
      </c>
      <c r="T322" s="23" t="n">
        <v>49.7</v>
      </c>
      <c r="U322" s="23" t="n">
        <v>1366417754</v>
      </c>
      <c r="V322" s="33" t="n">
        <f aca="false">YEARFRAC(W322,X322,1)</f>
        <v>83.2422856406623</v>
      </c>
      <c r="W322" s="34" t="n">
        <f aca="false">DATE(M322,N322,O322)</f>
        <v>15638</v>
      </c>
      <c r="X322" s="34" t="n">
        <f aca="true">TODAY()</f>
        <v>46042</v>
      </c>
    </row>
    <row r="323" customFormat="false" ht="15" hidden="false" customHeight="false" outlineLevel="0" collapsed="false">
      <c r="A323" s="23" t="n">
        <v>332</v>
      </c>
      <c r="B323" s="23" t="s">
        <v>31</v>
      </c>
      <c r="C323" s="23" t="s">
        <v>1268</v>
      </c>
      <c r="D323" s="23" t="s">
        <v>42</v>
      </c>
      <c r="E323" s="23" t="s">
        <v>77</v>
      </c>
      <c r="F323" s="23" t="s">
        <v>1269</v>
      </c>
      <c r="G323" s="23" t="s">
        <v>31</v>
      </c>
      <c r="H323" s="32" t="s">
        <v>45</v>
      </c>
      <c r="I323" s="23" t="s">
        <v>37</v>
      </c>
      <c r="J323" s="23" t="s">
        <v>1270</v>
      </c>
      <c r="K323" s="23" t="s">
        <v>1271</v>
      </c>
      <c r="L323" s="23" t="n">
        <v>7000</v>
      </c>
      <c r="M323" s="23" t="n">
        <v>1939</v>
      </c>
      <c r="N323" s="23" t="n">
        <v>10</v>
      </c>
      <c r="O323" s="23" t="n">
        <v>14</v>
      </c>
      <c r="P323" s="23" t="n">
        <v>117.24</v>
      </c>
      <c r="Q323" s="24" t="n">
        <v>21427700000000</v>
      </c>
      <c r="R323" s="23" t="n">
        <v>78.5</v>
      </c>
      <c r="S323" s="23" t="n">
        <v>9.6</v>
      </c>
      <c r="T323" s="23" t="n">
        <v>36.6</v>
      </c>
      <c r="U323" s="23" t="n">
        <v>328239523</v>
      </c>
      <c r="V323" s="33" t="n">
        <f aca="false">YEARFRAC(W323,X323,1)</f>
        <v>86.2696783025325</v>
      </c>
      <c r="W323" s="34" t="n">
        <f aca="false">DATE(M323,N323,O323)</f>
        <v>14532</v>
      </c>
      <c r="X323" s="34" t="n">
        <f aca="true">TODAY()</f>
        <v>46042</v>
      </c>
    </row>
    <row r="324" customFormat="false" ht="15" hidden="false" customHeight="false" outlineLevel="0" collapsed="false">
      <c r="A324" s="23" t="n">
        <v>332</v>
      </c>
      <c r="B324" s="23" t="s">
        <v>89</v>
      </c>
      <c r="C324" s="23" t="s">
        <v>1272</v>
      </c>
      <c r="D324" s="23" t="s">
        <v>91</v>
      </c>
      <c r="E324" s="23" t="s">
        <v>92</v>
      </c>
      <c r="F324" s="23" t="s">
        <v>89</v>
      </c>
      <c r="G324" s="23" t="s">
        <v>89</v>
      </c>
      <c r="H324" s="32" t="s">
        <v>36</v>
      </c>
      <c r="I324" s="23" t="s">
        <v>103</v>
      </c>
      <c r="J324" s="23" t="s">
        <v>1273</v>
      </c>
      <c r="K324" s="23" t="s">
        <v>1274</v>
      </c>
      <c r="L324" s="23" t="n">
        <v>7000</v>
      </c>
      <c r="M324" s="23" t="n">
        <v>1967</v>
      </c>
      <c r="N324" s="23" t="n">
        <v>6</v>
      </c>
      <c r="O324" s="23" t="n">
        <v>6</v>
      </c>
      <c r="P324" s="23" t="n">
        <v>180.44</v>
      </c>
      <c r="Q324" s="24" t="n">
        <v>2611000000000</v>
      </c>
      <c r="R324" s="23" t="n">
        <v>69.4</v>
      </c>
      <c r="S324" s="23" t="n">
        <v>11.2</v>
      </c>
      <c r="T324" s="23" t="n">
        <v>49.7</v>
      </c>
      <c r="U324" s="23" t="n">
        <v>1366417754</v>
      </c>
      <c r="V324" s="33" t="n">
        <f aca="false">YEARFRAC(W324,X324,1)</f>
        <v>58.6255989048597</v>
      </c>
      <c r="W324" s="34" t="n">
        <f aca="false">DATE(M324,N324,O324)</f>
        <v>24629</v>
      </c>
      <c r="X324" s="34" t="n">
        <f aca="true">TODAY()</f>
        <v>46042</v>
      </c>
    </row>
    <row r="325" customFormat="false" ht="15" hidden="false" customHeight="false" outlineLevel="0" collapsed="false">
      <c r="A325" s="23" t="n">
        <v>332</v>
      </c>
      <c r="B325" s="23" t="s">
        <v>89</v>
      </c>
      <c r="C325" s="23" t="s">
        <v>1275</v>
      </c>
      <c r="D325" s="23" t="s">
        <v>91</v>
      </c>
      <c r="E325" s="23" t="s">
        <v>92</v>
      </c>
      <c r="F325" s="23" t="s">
        <v>89</v>
      </c>
      <c r="G325" s="23" t="s">
        <v>89</v>
      </c>
      <c r="H325" s="32" t="s">
        <v>36</v>
      </c>
      <c r="I325" s="23" t="s">
        <v>37</v>
      </c>
      <c r="J325" s="23" t="s">
        <v>1273</v>
      </c>
      <c r="K325" s="23" t="s">
        <v>1276</v>
      </c>
      <c r="L325" s="23" t="n">
        <v>7000</v>
      </c>
      <c r="M325" s="23" t="n">
        <v>1964</v>
      </c>
      <c r="N325" s="23" t="n">
        <v>9</v>
      </c>
      <c r="O325" s="23" t="n">
        <v>6</v>
      </c>
      <c r="P325" s="23" t="n">
        <v>180.44</v>
      </c>
      <c r="Q325" s="24" t="n">
        <v>2611000000000</v>
      </c>
      <c r="R325" s="23" t="n">
        <v>69.4</v>
      </c>
      <c r="S325" s="23" t="n">
        <v>11.2</v>
      </c>
      <c r="T325" s="23" t="n">
        <v>49.7</v>
      </c>
      <c r="U325" s="23" t="n">
        <v>1366417754</v>
      </c>
      <c r="V325" s="33" t="n">
        <f aca="false">YEARFRAC(W325,X325,1)</f>
        <v>61.3709964799444</v>
      </c>
      <c r="W325" s="34" t="n">
        <f aca="false">DATE(M325,N325,O325)</f>
        <v>23626</v>
      </c>
      <c r="X325" s="34" t="n">
        <f aca="true">TODAY()</f>
        <v>46042</v>
      </c>
    </row>
    <row r="326" customFormat="false" ht="15" hidden="false" customHeight="false" outlineLevel="0" collapsed="false">
      <c r="A326" s="23" t="n">
        <v>332</v>
      </c>
      <c r="B326" s="23" t="s">
        <v>124</v>
      </c>
      <c r="C326" s="23" t="s">
        <v>1277</v>
      </c>
      <c r="D326" s="23" t="s">
        <v>42</v>
      </c>
      <c r="E326" s="23" t="s">
        <v>1278</v>
      </c>
      <c r="F326" s="23" t="s">
        <v>1279</v>
      </c>
      <c r="G326" s="23" t="s">
        <v>124</v>
      </c>
      <c r="H326" s="32" t="s">
        <v>45</v>
      </c>
      <c r="I326" s="23" t="s">
        <v>37</v>
      </c>
      <c r="J326" s="23" t="s">
        <v>1280</v>
      </c>
      <c r="K326" s="23" t="s">
        <v>1281</v>
      </c>
      <c r="L326" s="23" t="n">
        <v>7000</v>
      </c>
      <c r="M326" s="23" t="n">
        <v>1953</v>
      </c>
      <c r="N326" s="23" t="n">
        <v>12</v>
      </c>
      <c r="O326" s="23" t="n">
        <v>29</v>
      </c>
      <c r="P326" s="23" t="n">
        <v>117.24</v>
      </c>
      <c r="Q326" s="24" t="n">
        <v>21427700000000</v>
      </c>
      <c r="R326" s="23" t="n">
        <v>78.5</v>
      </c>
      <c r="S326" s="23" t="n">
        <v>9.6</v>
      </c>
      <c r="T326" s="23" t="n">
        <v>36.6</v>
      </c>
      <c r="U326" s="23" t="n">
        <v>328239523</v>
      </c>
      <c r="V326" s="33" t="n">
        <f aca="false">YEARFRAC(W326,X326,1)</f>
        <v>72.0615657836318</v>
      </c>
      <c r="W326" s="34" t="n">
        <f aca="false">DATE(M326,N326,O326)</f>
        <v>19722</v>
      </c>
      <c r="X326" s="34" t="n">
        <f aca="true">TODAY()</f>
        <v>46042</v>
      </c>
    </row>
    <row r="327" customFormat="false" ht="15" hidden="false" customHeight="false" outlineLevel="0" collapsed="false">
      <c r="A327" s="23" t="n">
        <v>332</v>
      </c>
      <c r="B327" s="23" t="s">
        <v>124</v>
      </c>
      <c r="C327" s="23" t="s">
        <v>1282</v>
      </c>
      <c r="D327" s="23" t="s">
        <v>42</v>
      </c>
      <c r="E327" s="23" t="s">
        <v>313</v>
      </c>
      <c r="F327" s="23" t="s">
        <v>1279</v>
      </c>
      <c r="G327" s="23" t="s">
        <v>124</v>
      </c>
      <c r="H327" s="32" t="s">
        <v>45</v>
      </c>
      <c r="I327" s="23" t="s">
        <v>37</v>
      </c>
      <c r="J327" s="23" t="s">
        <v>1280</v>
      </c>
      <c r="K327" s="23" t="s">
        <v>1283</v>
      </c>
      <c r="L327" s="23" t="n">
        <v>7000</v>
      </c>
      <c r="M327" s="23" t="n">
        <v>1955</v>
      </c>
      <c r="N327" s="23" t="n">
        <v>9</v>
      </c>
      <c r="O327" s="23" t="n">
        <v>16</v>
      </c>
      <c r="P327" s="23" t="n">
        <v>117.24</v>
      </c>
      <c r="Q327" s="24" t="n">
        <v>21427700000000</v>
      </c>
      <c r="R327" s="23" t="n">
        <v>78.5</v>
      </c>
      <c r="S327" s="23" t="n">
        <v>9.6</v>
      </c>
      <c r="T327" s="23" t="n">
        <v>36.6</v>
      </c>
      <c r="U327" s="23" t="n">
        <v>328239523</v>
      </c>
      <c r="V327" s="33" t="n">
        <f aca="false">YEARFRAC(W327,X327,1)</f>
        <v>70.3463381245722</v>
      </c>
      <c r="W327" s="34" t="n">
        <f aca="false">DATE(M327,N327,O327)</f>
        <v>20348</v>
      </c>
      <c r="X327" s="34" t="n">
        <f aca="true">TODAY()</f>
        <v>46042</v>
      </c>
    </row>
    <row r="328" customFormat="false" ht="15" hidden="false" customHeight="false" outlineLevel="0" collapsed="false">
      <c r="A328" s="23" t="n">
        <v>332</v>
      </c>
      <c r="B328" s="23" t="s">
        <v>124</v>
      </c>
      <c r="C328" s="23" t="s">
        <v>1284</v>
      </c>
      <c r="D328" s="23" t="s">
        <v>42</v>
      </c>
      <c r="E328" s="23" t="s">
        <v>1285</v>
      </c>
      <c r="F328" s="23" t="s">
        <v>1223</v>
      </c>
      <c r="G328" s="23" t="s">
        <v>124</v>
      </c>
      <c r="H328" s="32" t="s">
        <v>45</v>
      </c>
      <c r="I328" s="23" t="s">
        <v>37</v>
      </c>
      <c r="J328" s="23" t="s">
        <v>1286</v>
      </c>
      <c r="K328" s="23" t="s">
        <v>1210</v>
      </c>
      <c r="L328" s="23" t="n">
        <v>7000</v>
      </c>
      <c r="M328" s="23" t="n">
        <v>1952</v>
      </c>
      <c r="N328" s="23" t="n">
        <v>2</v>
      </c>
      <c r="O328" s="23" t="n">
        <v>26</v>
      </c>
      <c r="P328" s="23" t="n">
        <v>117.24</v>
      </c>
      <c r="Q328" s="24" t="n">
        <v>21427700000000</v>
      </c>
      <c r="R328" s="23" t="n">
        <v>78.5</v>
      </c>
      <c r="S328" s="23" t="n">
        <v>9.6</v>
      </c>
      <c r="T328" s="23" t="n">
        <v>36.6</v>
      </c>
      <c r="U328" s="23" t="n">
        <v>328239523</v>
      </c>
      <c r="V328" s="33" t="n">
        <f aca="false">YEARFRAC(W328,X328,1)</f>
        <v>73.8993940278893</v>
      </c>
      <c r="W328" s="34" t="n">
        <f aca="false">DATE(M328,N328,O328)</f>
        <v>19050</v>
      </c>
      <c r="X328" s="34" t="n">
        <f aca="true">TODAY()</f>
        <v>46042</v>
      </c>
    </row>
    <row r="329" customFormat="false" ht="15" hidden="false" customHeight="false" outlineLevel="0" collapsed="false">
      <c r="A329" s="23" t="n">
        <v>344</v>
      </c>
      <c r="B329" s="23" t="s">
        <v>89</v>
      </c>
      <c r="C329" s="23" t="s">
        <v>1287</v>
      </c>
      <c r="D329" s="23" t="s">
        <v>42</v>
      </c>
      <c r="E329" s="23" t="s">
        <v>829</v>
      </c>
      <c r="F329" s="23" t="s">
        <v>1288</v>
      </c>
      <c r="G329" s="23" t="s">
        <v>89</v>
      </c>
      <c r="H329" s="32" t="s">
        <v>36</v>
      </c>
      <c r="I329" s="23" t="s">
        <v>103</v>
      </c>
      <c r="J329" s="23" t="s">
        <v>1289</v>
      </c>
      <c r="K329" s="23" t="s">
        <v>1290</v>
      </c>
      <c r="L329" s="23" t="n">
        <v>6900</v>
      </c>
      <c r="M329" s="23" t="n">
        <v>1936</v>
      </c>
      <c r="N329" s="23" t="n">
        <v>1</v>
      </c>
      <c r="O329" s="23" t="n">
        <v>1</v>
      </c>
      <c r="P329" s="23" t="n">
        <v>117.24</v>
      </c>
      <c r="Q329" s="24" t="n">
        <v>21427700000000</v>
      </c>
      <c r="R329" s="23" t="n">
        <v>78.5</v>
      </c>
      <c r="S329" s="23" t="n">
        <v>9.6</v>
      </c>
      <c r="T329" s="23" t="n">
        <v>36.6</v>
      </c>
      <c r="U329" s="23" t="n">
        <v>328239523</v>
      </c>
      <c r="V329" s="33" t="n">
        <f aca="false">YEARFRAC(W329,X329,1)</f>
        <v>90.0527107527529</v>
      </c>
      <c r="W329" s="34" t="n">
        <f aca="false">DATE(M329,N329,O329)</f>
        <v>13150</v>
      </c>
      <c r="X329" s="34" t="n">
        <f aca="true">TODAY()</f>
        <v>46042</v>
      </c>
    </row>
    <row r="330" customFormat="false" ht="15" hidden="false" customHeight="false" outlineLevel="0" collapsed="false">
      <c r="A330" s="23" t="n">
        <v>344</v>
      </c>
      <c r="B330" s="23" t="s">
        <v>124</v>
      </c>
      <c r="C330" s="23" t="s">
        <v>1291</v>
      </c>
      <c r="D330" s="23" t="s">
        <v>42</v>
      </c>
      <c r="E330" s="23" t="s">
        <v>1292</v>
      </c>
      <c r="F330" s="23" t="s">
        <v>1293</v>
      </c>
      <c r="G330" s="23" t="s">
        <v>124</v>
      </c>
      <c r="H330" s="32" t="s">
        <v>36</v>
      </c>
      <c r="I330" s="23" t="s">
        <v>103</v>
      </c>
      <c r="J330" s="23" t="s">
        <v>1294</v>
      </c>
      <c r="K330" s="23" t="s">
        <v>1295</v>
      </c>
      <c r="L330" s="23" t="n">
        <v>6900</v>
      </c>
      <c r="M330" s="23" t="n">
        <v>1934</v>
      </c>
      <c r="N330" s="23" t="n">
        <v>1</v>
      </c>
      <c r="O330" s="23" t="n">
        <v>1</v>
      </c>
      <c r="P330" s="23" t="n">
        <v>117.24</v>
      </c>
      <c r="Q330" s="24" t="n">
        <v>21427700000000</v>
      </c>
      <c r="R330" s="23" t="n">
        <v>78.5</v>
      </c>
      <c r="S330" s="23" t="n">
        <v>9.6</v>
      </c>
      <c r="T330" s="23" t="n">
        <v>36.6</v>
      </c>
      <c r="U330" s="23" t="n">
        <v>328239523</v>
      </c>
      <c r="V330" s="33" t="n">
        <f aca="false">YEARFRAC(W330,X330,1)</f>
        <v>92.0526966556759</v>
      </c>
      <c r="W330" s="34" t="n">
        <f aca="false">DATE(M330,N330,O330)</f>
        <v>12420</v>
      </c>
      <c r="X330" s="34" t="n">
        <f aca="true">TODAY()</f>
        <v>46042</v>
      </c>
    </row>
    <row r="331" customFormat="false" ht="15" hidden="false" customHeight="false" outlineLevel="0" collapsed="false">
      <c r="A331" s="23" t="n">
        <v>344</v>
      </c>
      <c r="B331" s="23" t="s">
        <v>62</v>
      </c>
      <c r="C331" s="23" t="s">
        <v>1296</v>
      </c>
      <c r="D331" s="23" t="s">
        <v>42</v>
      </c>
      <c r="E331" s="23" t="s">
        <v>77</v>
      </c>
      <c r="F331" s="23" t="s">
        <v>1297</v>
      </c>
      <c r="G331" s="23" t="s">
        <v>62</v>
      </c>
      <c r="H331" s="32" t="s">
        <v>45</v>
      </c>
      <c r="I331" s="23" t="s">
        <v>37</v>
      </c>
      <c r="J331" s="23" t="s">
        <v>1298</v>
      </c>
      <c r="K331" s="23" t="s">
        <v>1299</v>
      </c>
      <c r="L331" s="23" t="n">
        <v>6900</v>
      </c>
      <c r="M331" s="23" t="n">
        <v>1967</v>
      </c>
      <c r="N331" s="23" t="n">
        <v>9</v>
      </c>
      <c r="O331" s="23" t="n">
        <v>16</v>
      </c>
      <c r="P331" s="23" t="n">
        <v>117.24</v>
      </c>
      <c r="Q331" s="24" t="n">
        <v>21427700000000</v>
      </c>
      <c r="R331" s="23" t="n">
        <v>78.5</v>
      </c>
      <c r="S331" s="23" t="n">
        <v>9.6</v>
      </c>
      <c r="T331" s="23" t="n">
        <v>36.6</v>
      </c>
      <c r="U331" s="23" t="n">
        <v>328239523</v>
      </c>
      <c r="V331" s="33" t="n">
        <f aca="false">YEARFRAC(W331,X331,1)</f>
        <v>58.3463381245722</v>
      </c>
      <c r="W331" s="34" t="n">
        <f aca="false">DATE(M331,N331,O331)</f>
        <v>24731</v>
      </c>
      <c r="X331" s="34" t="n">
        <f aca="true">TODAY()</f>
        <v>46042</v>
      </c>
    </row>
    <row r="332" customFormat="false" ht="15" hidden="false" customHeight="false" outlineLevel="0" collapsed="false">
      <c r="A332" s="23" t="n">
        <v>344</v>
      </c>
      <c r="B332" s="23" t="s">
        <v>49</v>
      </c>
      <c r="C332" s="23" t="s">
        <v>1300</v>
      </c>
      <c r="D332" s="23" t="s">
        <v>126</v>
      </c>
      <c r="E332" s="23" t="s">
        <v>1301</v>
      </c>
      <c r="F332" s="23" t="s">
        <v>1302</v>
      </c>
      <c r="G332" s="23" t="s">
        <v>49</v>
      </c>
      <c r="H332" s="32" t="s">
        <v>45</v>
      </c>
      <c r="I332" s="23" t="s">
        <v>37</v>
      </c>
      <c r="J332" s="23" t="s">
        <v>661</v>
      </c>
      <c r="K332" s="23" t="s">
        <v>1303</v>
      </c>
      <c r="L332" s="23" t="n">
        <v>6900</v>
      </c>
      <c r="M332" s="23" t="n">
        <v>1964</v>
      </c>
      <c r="N332" s="23" t="n">
        <v>9</v>
      </c>
      <c r="O332" s="23" t="n">
        <v>22</v>
      </c>
      <c r="P332" s="23" t="n">
        <v>125.08</v>
      </c>
      <c r="Q332" s="24" t="n">
        <v>19910000000000</v>
      </c>
      <c r="R332" s="23" t="n">
        <v>77</v>
      </c>
      <c r="S332" s="23" t="n">
        <v>9.4</v>
      </c>
      <c r="T332" s="23" t="n">
        <v>59.2</v>
      </c>
      <c r="U332" s="23" t="n">
        <v>1397715000</v>
      </c>
      <c r="V332" s="33" t="n">
        <f aca="false">YEARFRAC(W332,X332,1)</f>
        <v>61.3271913432706</v>
      </c>
      <c r="W332" s="34" t="n">
        <f aca="false">DATE(M332,N332,O332)</f>
        <v>23642</v>
      </c>
      <c r="X332" s="34" t="n">
        <f aca="true">TODAY()</f>
        <v>46042</v>
      </c>
    </row>
    <row r="333" customFormat="false" ht="15" hidden="false" customHeight="false" outlineLevel="0" collapsed="false">
      <c r="A333" s="23" t="n">
        <v>344</v>
      </c>
      <c r="B333" s="23" t="s">
        <v>471</v>
      </c>
      <c r="C333" s="23" t="s">
        <v>1304</v>
      </c>
      <c r="D333" s="23" t="s">
        <v>42</v>
      </c>
      <c r="E333" s="23" t="s">
        <v>1305</v>
      </c>
      <c r="F333" s="23" t="s">
        <v>474</v>
      </c>
      <c r="G333" s="23" t="s">
        <v>471</v>
      </c>
      <c r="H333" s="32" t="s">
        <v>45</v>
      </c>
      <c r="I333" s="23" t="s">
        <v>37</v>
      </c>
      <c r="J333" s="23" t="s">
        <v>1306</v>
      </c>
      <c r="K333" s="23" t="s">
        <v>1260</v>
      </c>
      <c r="L333" s="23" t="n">
        <v>6900</v>
      </c>
      <c r="M333" s="23" t="n">
        <v>1942</v>
      </c>
      <c r="N333" s="23" t="n">
        <v>9</v>
      </c>
      <c r="O333" s="23" t="n">
        <v>20</v>
      </c>
      <c r="P333" s="23" t="n">
        <v>117.24</v>
      </c>
      <c r="Q333" s="24" t="n">
        <v>21427700000000</v>
      </c>
      <c r="R333" s="23" t="n">
        <v>78.5</v>
      </c>
      <c r="S333" s="23" t="n">
        <v>9.6</v>
      </c>
      <c r="T333" s="23" t="n">
        <v>36.6</v>
      </c>
      <c r="U333" s="23" t="n">
        <v>328239523</v>
      </c>
      <c r="V333" s="33" t="n">
        <f aca="false">YEARFRAC(W333,X333,1)</f>
        <v>83.3353733170135</v>
      </c>
      <c r="W333" s="34" t="n">
        <f aca="false">DATE(M333,N333,O333)</f>
        <v>15604</v>
      </c>
      <c r="X333" s="34" t="n">
        <f aca="true">TODAY()</f>
        <v>46042</v>
      </c>
    </row>
    <row r="334" customFormat="false" ht="15" hidden="false" customHeight="false" outlineLevel="0" collapsed="false">
      <c r="A334" s="23" t="n">
        <v>344</v>
      </c>
      <c r="B334" s="23" t="s">
        <v>31</v>
      </c>
      <c r="C334" s="23" t="s">
        <v>1307</v>
      </c>
      <c r="D334" s="23" t="s">
        <v>113</v>
      </c>
      <c r="E334" s="23" t="s">
        <v>114</v>
      </c>
      <c r="F334" s="23" t="s">
        <v>115</v>
      </c>
      <c r="G334" s="23" t="s">
        <v>31</v>
      </c>
      <c r="H334" s="32" t="s">
        <v>36</v>
      </c>
      <c r="I334" s="23" t="s">
        <v>103</v>
      </c>
      <c r="J334" s="23" t="s">
        <v>1308</v>
      </c>
      <c r="K334" s="23" t="s">
        <v>1309</v>
      </c>
      <c r="L334" s="23" t="n">
        <v>6900</v>
      </c>
      <c r="M334" s="23" t="n">
        <v>1968</v>
      </c>
      <c r="N334" s="23" t="n">
        <v>7</v>
      </c>
      <c r="O334" s="23" t="n">
        <v>9</v>
      </c>
      <c r="P334" s="23" t="n">
        <v>110.96</v>
      </c>
      <c r="Q334" s="24" t="n">
        <v>1394116310769</v>
      </c>
      <c r="R334" s="23" t="n">
        <v>83.3</v>
      </c>
      <c r="S334" s="23" t="n">
        <v>14.2</v>
      </c>
      <c r="T334" s="23" t="n">
        <v>47</v>
      </c>
      <c r="U334" s="23" t="n">
        <v>47076781</v>
      </c>
      <c r="V334" s="33" t="n">
        <f aca="false">YEARFRAC(W334,X334,1)</f>
        <v>57.5325290023202</v>
      </c>
      <c r="W334" s="34" t="n">
        <f aca="false">DATE(M334,N334,O334)</f>
        <v>25028</v>
      </c>
      <c r="X334" s="34" t="n">
        <f aca="true">TODAY()</f>
        <v>46042</v>
      </c>
    </row>
    <row r="335" customFormat="false" ht="15" hidden="false" customHeight="false" outlineLevel="0" collapsed="false">
      <c r="A335" s="23" t="n">
        <v>344</v>
      </c>
      <c r="B335" s="23" t="s">
        <v>360</v>
      </c>
      <c r="C335" s="23" t="s">
        <v>1310</v>
      </c>
      <c r="D335" s="23" t="s">
        <v>42</v>
      </c>
      <c r="E335" s="23" t="s">
        <v>1311</v>
      </c>
      <c r="F335" s="23" t="s">
        <v>1312</v>
      </c>
      <c r="G335" s="23" t="s">
        <v>360</v>
      </c>
      <c r="H335" s="32" t="s">
        <v>36</v>
      </c>
      <c r="I335" s="23" t="s">
        <v>103</v>
      </c>
      <c r="J335" s="23" t="s">
        <v>1313</v>
      </c>
      <c r="K335" s="23" t="s">
        <v>1314</v>
      </c>
      <c r="L335" s="23" t="n">
        <v>6900</v>
      </c>
      <c r="M335" s="23" t="n">
        <v>1954</v>
      </c>
      <c r="N335" s="23" t="n">
        <v>5</v>
      </c>
      <c r="O335" s="23" t="n">
        <v>1</v>
      </c>
      <c r="P335" s="23" t="n">
        <v>117.24</v>
      </c>
      <c r="Q335" s="24" t="n">
        <v>21427700000000</v>
      </c>
      <c r="R335" s="23" t="n">
        <v>78.5</v>
      </c>
      <c r="S335" s="23" t="n">
        <v>9.6</v>
      </c>
      <c r="T335" s="23" t="n">
        <v>36.6</v>
      </c>
      <c r="U335" s="23" t="n">
        <v>328239523</v>
      </c>
      <c r="V335" s="33" t="n">
        <f aca="false">YEARFRAC(W335,X335,1)</f>
        <v>71.724149570566</v>
      </c>
      <c r="W335" s="34" t="n">
        <f aca="false">DATE(M335,N335,O335)</f>
        <v>19845</v>
      </c>
      <c r="X335" s="34" t="n">
        <f aca="true">TODAY()</f>
        <v>46042</v>
      </c>
    </row>
    <row r="336" customFormat="false" ht="15" hidden="false" customHeight="false" outlineLevel="0" collapsed="false">
      <c r="A336" s="23" t="n">
        <v>352</v>
      </c>
      <c r="B336" s="23" t="s">
        <v>305</v>
      </c>
      <c r="C336" s="23" t="s">
        <v>1315</v>
      </c>
      <c r="D336" s="23" t="s">
        <v>42</v>
      </c>
      <c r="E336" s="23" t="s">
        <v>742</v>
      </c>
      <c r="F336" s="23" t="s">
        <v>1212</v>
      </c>
      <c r="G336" s="23" t="s">
        <v>305</v>
      </c>
      <c r="H336" s="32" t="s">
        <v>36</v>
      </c>
      <c r="I336" s="23" t="s">
        <v>103</v>
      </c>
      <c r="J336" s="23" t="s">
        <v>1316</v>
      </c>
      <c r="K336" s="23" t="s">
        <v>1317</v>
      </c>
      <c r="L336" s="23" t="n">
        <v>6800</v>
      </c>
      <c r="M336" s="23" t="n">
        <v>1964</v>
      </c>
      <c r="N336" s="23" t="n">
        <v>3</v>
      </c>
      <c r="O336" s="23" t="n">
        <v>9</v>
      </c>
      <c r="P336" s="23" t="n">
        <v>117.24</v>
      </c>
      <c r="Q336" s="24" t="n">
        <v>21427700000000</v>
      </c>
      <c r="R336" s="23" t="n">
        <v>78.5</v>
      </c>
      <c r="S336" s="23" t="n">
        <v>9.6</v>
      </c>
      <c r="T336" s="23" t="n">
        <v>36.6</v>
      </c>
      <c r="U336" s="23" t="n">
        <v>328239523</v>
      </c>
      <c r="V336" s="33" t="n">
        <f aca="false">YEARFRAC(W336,X336,1)</f>
        <v>61.8665420885663</v>
      </c>
      <c r="W336" s="34" t="n">
        <f aca="false">DATE(M336,N336,O336)</f>
        <v>23445</v>
      </c>
      <c r="X336" s="34" t="n">
        <f aca="true">TODAY()</f>
        <v>46042</v>
      </c>
    </row>
    <row r="337" customFormat="false" ht="15" hidden="false" customHeight="false" outlineLevel="0" collapsed="false">
      <c r="A337" s="23" t="n">
        <v>352</v>
      </c>
      <c r="B337" s="23" t="s">
        <v>89</v>
      </c>
      <c r="C337" s="23" t="s">
        <v>1318</v>
      </c>
      <c r="D337" s="23" t="s">
        <v>683</v>
      </c>
      <c r="E337" s="23" t="s">
        <v>684</v>
      </c>
      <c r="F337" s="23" t="s">
        <v>156</v>
      </c>
      <c r="G337" s="23" t="s">
        <v>89</v>
      </c>
      <c r="H337" s="32" t="s">
        <v>45</v>
      </c>
      <c r="I337" s="23" t="s">
        <v>37</v>
      </c>
      <c r="J337" s="23" t="s">
        <v>1319</v>
      </c>
      <c r="K337" s="23" t="s">
        <v>1320</v>
      </c>
      <c r="L337" s="23" t="n">
        <v>6800</v>
      </c>
      <c r="M337" s="23" t="n">
        <v>1936</v>
      </c>
      <c r="N337" s="23" t="n">
        <v>9</v>
      </c>
      <c r="O337" s="23" t="n">
        <v>29</v>
      </c>
      <c r="P337" s="23" t="n">
        <v>110.62</v>
      </c>
      <c r="Q337" s="24" t="n">
        <v>2001244392042</v>
      </c>
      <c r="R337" s="23" t="n">
        <v>82.9</v>
      </c>
      <c r="S337" s="23" t="n">
        <v>24.3</v>
      </c>
      <c r="T337" s="23" t="n">
        <v>59.1</v>
      </c>
      <c r="U337" s="23" t="n">
        <v>60297396</v>
      </c>
      <c r="V337" s="33" t="n">
        <f aca="false">YEARFRAC(W337,X337,1)</f>
        <v>89.3080209398881</v>
      </c>
      <c r="W337" s="34" t="n">
        <f aca="false">DATE(M337,N337,O337)</f>
        <v>13422</v>
      </c>
      <c r="X337" s="34" t="n">
        <f aca="true">TODAY()</f>
        <v>46042</v>
      </c>
    </row>
    <row r="338" customFormat="false" ht="15" hidden="false" customHeight="false" outlineLevel="0" collapsed="false">
      <c r="A338" s="23" t="n">
        <v>352</v>
      </c>
      <c r="B338" s="23" t="s">
        <v>213</v>
      </c>
      <c r="C338" s="23" t="s">
        <v>1321</v>
      </c>
      <c r="D338" s="23" t="s">
        <v>241</v>
      </c>
      <c r="E338" s="23" t="s">
        <v>1322</v>
      </c>
      <c r="F338" s="23" t="s">
        <v>1323</v>
      </c>
      <c r="G338" s="23" t="s">
        <v>213</v>
      </c>
      <c r="H338" s="32" t="s">
        <v>45</v>
      </c>
      <c r="I338" s="23" t="s">
        <v>103</v>
      </c>
      <c r="J338" s="23" t="s">
        <v>1324</v>
      </c>
      <c r="K338" s="23" t="s">
        <v>1325</v>
      </c>
      <c r="L338" s="23" t="n">
        <v>6800</v>
      </c>
      <c r="M338" s="23" t="n">
        <v>1967</v>
      </c>
      <c r="N338" s="23" t="n">
        <v>9</v>
      </c>
      <c r="O338" s="23" t="n">
        <v>26</v>
      </c>
      <c r="P338" s="23" t="n">
        <v>119.62</v>
      </c>
      <c r="Q338" s="24" t="n">
        <v>2827113184696</v>
      </c>
      <c r="R338" s="23" t="n">
        <v>81.3</v>
      </c>
      <c r="S338" s="23" t="n">
        <v>25.5</v>
      </c>
      <c r="T338" s="23" t="n">
        <v>30.6</v>
      </c>
      <c r="U338" s="23" t="n">
        <v>66834405</v>
      </c>
      <c r="V338" s="33" t="n">
        <f aca="false">YEARFRAC(W338,X338,1)</f>
        <v>58.3189596167009</v>
      </c>
      <c r="W338" s="34" t="n">
        <f aca="false">DATE(M338,N338,O338)</f>
        <v>24741</v>
      </c>
      <c r="X338" s="34" t="n">
        <f aca="true">TODAY()</f>
        <v>46042</v>
      </c>
    </row>
    <row r="339" customFormat="false" ht="15" hidden="false" customHeight="false" outlineLevel="0" collapsed="false">
      <c r="A339" s="23" t="n">
        <v>352</v>
      </c>
      <c r="B339" s="23" t="s">
        <v>305</v>
      </c>
      <c r="C339" s="23" t="s">
        <v>1326</v>
      </c>
      <c r="D339" s="23" t="s">
        <v>42</v>
      </c>
      <c r="E339" s="23" t="s">
        <v>742</v>
      </c>
      <c r="F339" s="23" t="s">
        <v>1212</v>
      </c>
      <c r="G339" s="23" t="s">
        <v>305</v>
      </c>
      <c r="H339" s="32" t="s">
        <v>36</v>
      </c>
      <c r="I339" s="23" t="s">
        <v>37</v>
      </c>
      <c r="J339" s="23" t="s">
        <v>1327</v>
      </c>
      <c r="K339" s="23" t="s">
        <v>330</v>
      </c>
      <c r="L339" s="23" t="n">
        <v>6800</v>
      </c>
      <c r="M339" s="23" t="n">
        <v>1982</v>
      </c>
      <c r="N339" s="23" t="n">
        <v>11</v>
      </c>
      <c r="O339" s="23" t="n">
        <v>1</v>
      </c>
      <c r="P339" s="23" t="n">
        <v>117.24</v>
      </c>
      <c r="Q339" s="24" t="n">
        <v>21427700000000</v>
      </c>
      <c r="R339" s="23" t="n">
        <v>78.5</v>
      </c>
      <c r="S339" s="23" t="n">
        <v>9.6</v>
      </c>
      <c r="T339" s="23" t="n">
        <v>36.6</v>
      </c>
      <c r="U339" s="23" t="n">
        <v>328239523</v>
      </c>
      <c r="V339" s="33" t="n">
        <f aca="false">YEARFRAC(W339,X339,1)</f>
        <v>43.2203699196885</v>
      </c>
      <c r="W339" s="34" t="n">
        <f aca="false">DATE(M339,N339,O339)</f>
        <v>30256</v>
      </c>
      <c r="X339" s="34" t="n">
        <f aca="true">TODAY()</f>
        <v>46042</v>
      </c>
    </row>
    <row r="340" customFormat="false" ht="15" hidden="false" customHeight="false" outlineLevel="0" collapsed="false">
      <c r="A340" s="23" t="n">
        <v>352</v>
      </c>
      <c r="B340" s="23" t="s">
        <v>305</v>
      </c>
      <c r="C340" s="23" t="s">
        <v>1328</v>
      </c>
      <c r="D340" s="23" t="s">
        <v>42</v>
      </c>
      <c r="E340" s="23" t="s">
        <v>742</v>
      </c>
      <c r="F340" s="23" t="s">
        <v>1212</v>
      </c>
      <c r="G340" s="23" t="s">
        <v>305</v>
      </c>
      <c r="H340" s="32" t="s">
        <v>36</v>
      </c>
      <c r="I340" s="23" t="s">
        <v>103</v>
      </c>
      <c r="J340" s="23" t="s">
        <v>1329</v>
      </c>
      <c r="K340" s="23" t="s">
        <v>1330</v>
      </c>
      <c r="L340" s="23" t="n">
        <v>6800</v>
      </c>
      <c r="M340" s="23" t="n">
        <v>1969</v>
      </c>
      <c r="N340" s="23" t="n">
        <v>8</v>
      </c>
      <c r="O340" s="23" t="n">
        <v>12</v>
      </c>
      <c r="P340" s="23" t="n">
        <v>117.24</v>
      </c>
      <c r="Q340" s="24" t="n">
        <v>21427700000000</v>
      </c>
      <c r="R340" s="23" t="n">
        <v>78.5</v>
      </c>
      <c r="S340" s="23" t="n">
        <v>9.6</v>
      </c>
      <c r="T340" s="23" t="n">
        <v>36.6</v>
      </c>
      <c r="U340" s="23" t="n">
        <v>328239523</v>
      </c>
      <c r="V340" s="33" t="n">
        <f aca="false">YEARFRAC(W340,X340,1)</f>
        <v>56.4421261329305</v>
      </c>
      <c r="W340" s="34" t="n">
        <f aca="false">DATE(M340,N340,O340)</f>
        <v>25427</v>
      </c>
      <c r="X340" s="34" t="n">
        <f aca="true">TODAY()</f>
        <v>46042</v>
      </c>
    </row>
    <row r="341" customFormat="false" ht="15" hidden="false" customHeight="false" outlineLevel="0" collapsed="false">
      <c r="A341" s="23" t="n">
        <v>352</v>
      </c>
      <c r="B341" s="23" t="s">
        <v>62</v>
      </c>
      <c r="C341" s="23" t="s">
        <v>1331</v>
      </c>
      <c r="D341" s="23" t="s">
        <v>42</v>
      </c>
      <c r="E341" s="23" t="s">
        <v>1332</v>
      </c>
      <c r="F341" s="23" t="s">
        <v>380</v>
      </c>
      <c r="G341" s="23" t="s">
        <v>62</v>
      </c>
      <c r="H341" s="32" t="s">
        <v>36</v>
      </c>
      <c r="I341" s="23" t="s">
        <v>37</v>
      </c>
      <c r="J341" s="23" t="s">
        <v>381</v>
      </c>
      <c r="K341" s="23" t="s">
        <v>1333</v>
      </c>
      <c r="L341" s="23" t="n">
        <v>6800</v>
      </c>
      <c r="M341" s="23" t="n">
        <v>1964</v>
      </c>
      <c r="N341" s="23" t="n">
        <v>11</v>
      </c>
      <c r="O341" s="23" t="n">
        <v>18</v>
      </c>
      <c r="P341" s="23" t="n">
        <v>117.24</v>
      </c>
      <c r="Q341" s="24" t="n">
        <v>21427700000000</v>
      </c>
      <c r="R341" s="23" t="n">
        <v>78.5</v>
      </c>
      <c r="S341" s="23" t="n">
        <v>9.6</v>
      </c>
      <c r="T341" s="23" t="n">
        <v>36.6</v>
      </c>
      <c r="U341" s="23" t="n">
        <v>328239523</v>
      </c>
      <c r="V341" s="33" t="n">
        <f aca="false">YEARFRAC(W341,X341,1)</f>
        <v>61.1711355438703</v>
      </c>
      <c r="W341" s="34" t="n">
        <f aca="false">DATE(M341,N341,O341)</f>
        <v>23699</v>
      </c>
      <c r="X341" s="34" t="n">
        <f aca="true">TODAY()</f>
        <v>46042</v>
      </c>
    </row>
    <row r="342" customFormat="false" ht="15" hidden="false" customHeight="false" outlineLevel="0" collapsed="false">
      <c r="A342" s="23" t="n">
        <v>352</v>
      </c>
      <c r="B342" s="23" t="s">
        <v>62</v>
      </c>
      <c r="C342" s="23" t="s">
        <v>1334</v>
      </c>
      <c r="D342" s="23" t="s">
        <v>42</v>
      </c>
      <c r="E342" s="23" t="s">
        <v>120</v>
      </c>
      <c r="F342" s="23" t="s">
        <v>1335</v>
      </c>
      <c r="G342" s="23" t="s">
        <v>62</v>
      </c>
      <c r="H342" s="32" t="s">
        <v>45</v>
      </c>
      <c r="I342" s="23" t="s">
        <v>37</v>
      </c>
      <c r="J342" s="23" t="s">
        <v>1336</v>
      </c>
      <c r="K342" s="23" t="s">
        <v>1337</v>
      </c>
      <c r="L342" s="23" t="n">
        <v>6800</v>
      </c>
      <c r="M342" s="23" t="n">
        <v>1961</v>
      </c>
      <c r="N342" s="23" t="n">
        <v>11</v>
      </c>
      <c r="O342" s="23" t="n">
        <v>11</v>
      </c>
      <c r="P342" s="23" t="n">
        <v>117.24</v>
      </c>
      <c r="Q342" s="24" t="n">
        <v>21427700000000</v>
      </c>
      <c r="R342" s="23" t="n">
        <v>78.5</v>
      </c>
      <c r="S342" s="23" t="n">
        <v>9.6</v>
      </c>
      <c r="T342" s="23" t="n">
        <v>36.6</v>
      </c>
      <c r="U342" s="23" t="n">
        <v>328239523</v>
      </c>
      <c r="V342" s="33" t="n">
        <f aca="false">YEARFRAC(W342,X342,1)</f>
        <v>64.1929810005808</v>
      </c>
      <c r="W342" s="34" t="n">
        <f aca="false">DATE(M342,N342,O342)</f>
        <v>22596</v>
      </c>
      <c r="X342" s="34" t="n">
        <f aca="true">TODAY()</f>
        <v>46042</v>
      </c>
    </row>
    <row r="343" customFormat="false" ht="15" hidden="false" customHeight="false" outlineLevel="0" collapsed="false">
      <c r="A343" s="23" t="n">
        <v>352</v>
      </c>
      <c r="B343" s="23" t="s">
        <v>49</v>
      </c>
      <c r="C343" s="23" t="s">
        <v>1338</v>
      </c>
      <c r="D343" s="23" t="s">
        <v>42</v>
      </c>
      <c r="E343" s="23" t="s">
        <v>881</v>
      </c>
      <c r="F343" s="23" t="s">
        <v>1339</v>
      </c>
      <c r="G343" s="23" t="s">
        <v>49</v>
      </c>
      <c r="H343" s="32" t="s">
        <v>45</v>
      </c>
      <c r="I343" s="23" t="s">
        <v>37</v>
      </c>
      <c r="J343" s="23" t="s">
        <v>1340</v>
      </c>
      <c r="K343" s="23" t="s">
        <v>1341</v>
      </c>
      <c r="L343" s="23" t="n">
        <v>6800</v>
      </c>
      <c r="M343" s="23" t="n">
        <v>1929</v>
      </c>
      <c r="N343" s="23" t="n">
        <v>1</v>
      </c>
      <c r="O343" s="23" t="n">
        <v>3</v>
      </c>
      <c r="P343" s="23" t="n">
        <v>117.24</v>
      </c>
      <c r="Q343" s="24" t="n">
        <v>21427700000000</v>
      </c>
      <c r="R343" s="23" t="n">
        <v>78.5</v>
      </c>
      <c r="S343" s="23" t="n">
        <v>9.6</v>
      </c>
      <c r="T343" s="23" t="n">
        <v>36.6</v>
      </c>
      <c r="U343" s="23" t="n">
        <v>328239523</v>
      </c>
      <c r="V343" s="33" t="n">
        <f aca="false">YEARFRAC(W343,X343,1)</f>
        <v>97.0472146169749</v>
      </c>
      <c r="W343" s="34" t="n">
        <f aca="false">DATE(M343,N343,O343)</f>
        <v>10596</v>
      </c>
      <c r="X343" s="34" t="n">
        <f aca="true">TODAY()</f>
        <v>46042</v>
      </c>
    </row>
    <row r="344" customFormat="false" ht="15" hidden="false" customHeight="false" outlineLevel="0" collapsed="false">
      <c r="A344" s="23" t="n">
        <v>352</v>
      </c>
      <c r="B344" s="23" t="s">
        <v>62</v>
      </c>
      <c r="C344" s="23" t="s">
        <v>1342</v>
      </c>
      <c r="D344" s="23" t="s">
        <v>42</v>
      </c>
      <c r="E344" s="23" t="s">
        <v>1343</v>
      </c>
      <c r="F344" s="23" t="s">
        <v>221</v>
      </c>
      <c r="G344" s="23" t="s">
        <v>62</v>
      </c>
      <c r="H344" s="32" t="s">
        <v>45</v>
      </c>
      <c r="I344" s="23" t="s">
        <v>37</v>
      </c>
      <c r="J344" s="23" t="s">
        <v>1344</v>
      </c>
      <c r="K344" s="23" t="s">
        <v>207</v>
      </c>
      <c r="L344" s="23" t="n">
        <v>6800</v>
      </c>
      <c r="M344" s="23" t="n">
        <v>1969</v>
      </c>
      <c r="N344" s="23" t="n">
        <v>12</v>
      </c>
      <c r="O344" s="23" t="n">
        <v>21</v>
      </c>
      <c r="P344" s="23" t="n">
        <v>117.24</v>
      </c>
      <c r="Q344" s="24" t="n">
        <v>21427700000000</v>
      </c>
      <c r="R344" s="23" t="n">
        <v>78.5</v>
      </c>
      <c r="S344" s="23" t="n">
        <v>9.6</v>
      </c>
      <c r="T344" s="23" t="n">
        <v>36.6</v>
      </c>
      <c r="U344" s="23" t="n">
        <v>328239523</v>
      </c>
      <c r="V344" s="33" t="n">
        <f aca="false">YEARFRAC(W344,X344,1)</f>
        <v>56.0834592145015</v>
      </c>
      <c r="W344" s="34" t="n">
        <f aca="false">DATE(M344,N344,O344)</f>
        <v>25558</v>
      </c>
      <c r="X344" s="34" t="n">
        <f aca="true">TODAY()</f>
        <v>46042</v>
      </c>
    </row>
    <row r="345" customFormat="false" ht="15" hidden="false" customHeight="false" outlineLevel="0" collapsed="false">
      <c r="A345" s="23" t="n">
        <v>352</v>
      </c>
      <c r="B345" s="23" t="s">
        <v>62</v>
      </c>
      <c r="C345" s="23" t="s">
        <v>1345</v>
      </c>
      <c r="D345" s="23" t="s">
        <v>42</v>
      </c>
      <c r="E345" s="23" t="s">
        <v>1346</v>
      </c>
      <c r="F345" s="23" t="s">
        <v>221</v>
      </c>
      <c r="G345" s="23" t="s">
        <v>62</v>
      </c>
      <c r="H345" s="32" t="s">
        <v>45</v>
      </c>
      <c r="I345" s="23" t="s">
        <v>37</v>
      </c>
      <c r="J345" s="23" t="s">
        <v>1347</v>
      </c>
      <c r="K345" s="23" t="s">
        <v>158</v>
      </c>
      <c r="L345" s="23" t="n">
        <v>6800</v>
      </c>
      <c r="M345" s="23" t="n">
        <v>1961</v>
      </c>
      <c r="N345" s="23" t="n">
        <v>7</v>
      </c>
      <c r="O345" s="23" t="n">
        <v>15</v>
      </c>
      <c r="P345" s="23" t="n">
        <v>117.24</v>
      </c>
      <c r="Q345" s="24" t="n">
        <v>21427700000000</v>
      </c>
      <c r="R345" s="23" t="n">
        <v>78.5</v>
      </c>
      <c r="S345" s="23" t="n">
        <v>9.6</v>
      </c>
      <c r="T345" s="23" t="n">
        <v>36.6</v>
      </c>
      <c r="U345" s="23" t="n">
        <v>328239523</v>
      </c>
      <c r="V345" s="33" t="n">
        <f aca="false">YEARFRAC(W345,X345,1)</f>
        <v>64.5187920019912</v>
      </c>
      <c r="W345" s="34" t="n">
        <f aca="false">DATE(M345,N345,O345)</f>
        <v>22477</v>
      </c>
      <c r="X345" s="34" t="n">
        <f aca="true">TODAY()</f>
        <v>46042</v>
      </c>
    </row>
    <row r="346" customFormat="false" ht="15" hidden="false" customHeight="false" outlineLevel="0" collapsed="false">
      <c r="A346" s="23" t="n">
        <v>352</v>
      </c>
      <c r="B346" s="23" t="s">
        <v>89</v>
      </c>
      <c r="C346" s="23" t="s">
        <v>1348</v>
      </c>
      <c r="D346" s="23" t="s">
        <v>338</v>
      </c>
      <c r="E346" s="23" t="s">
        <v>339</v>
      </c>
      <c r="F346" s="23" t="s">
        <v>1349</v>
      </c>
      <c r="G346" s="23" t="s">
        <v>89</v>
      </c>
      <c r="H346" s="32" t="s">
        <v>45</v>
      </c>
      <c r="I346" s="23" t="s">
        <v>37</v>
      </c>
      <c r="J346" s="23" t="s">
        <v>1350</v>
      </c>
      <c r="K346" s="23" t="s">
        <v>748</v>
      </c>
      <c r="L346" s="23" t="n">
        <v>6800</v>
      </c>
      <c r="M346" s="23" t="n">
        <v>1957</v>
      </c>
      <c r="N346" s="23" t="n">
        <v>4</v>
      </c>
      <c r="O346" s="23" t="n">
        <v>14</v>
      </c>
      <c r="P346" s="23" t="n">
        <v>180.75</v>
      </c>
      <c r="Q346" s="24" t="n">
        <v>1699876578871</v>
      </c>
      <c r="R346" s="23" t="n">
        <v>72.7</v>
      </c>
      <c r="S346" s="23" t="n">
        <v>11.4</v>
      </c>
      <c r="T346" s="23" t="n">
        <v>46.2</v>
      </c>
      <c r="U346" s="23" t="n">
        <v>144373535</v>
      </c>
      <c r="V346" s="33" t="n">
        <f aca="false">YEARFRAC(W346,X346,1)</f>
        <v>68.7706809559197</v>
      </c>
      <c r="W346" s="34" t="n">
        <f aca="false">DATE(M346,N346,O346)</f>
        <v>20924</v>
      </c>
      <c r="X346" s="34" t="n">
        <f aca="true">TODAY()</f>
        <v>46042</v>
      </c>
    </row>
    <row r="347" customFormat="false" ht="15" hidden="false" customHeight="false" outlineLevel="0" collapsed="false">
      <c r="A347" s="23" t="n">
        <v>352</v>
      </c>
      <c r="B347" s="23" t="s">
        <v>49</v>
      </c>
      <c r="C347" s="23" t="s">
        <v>1351</v>
      </c>
      <c r="D347" s="23" t="s">
        <v>126</v>
      </c>
      <c r="E347" s="23" t="s">
        <v>209</v>
      </c>
      <c r="F347" s="23" t="s">
        <v>1198</v>
      </c>
      <c r="G347" s="23" t="s">
        <v>49</v>
      </c>
      <c r="H347" s="32" t="s">
        <v>45</v>
      </c>
      <c r="I347" s="23" t="s">
        <v>37</v>
      </c>
      <c r="J347" s="23" t="s">
        <v>393</v>
      </c>
      <c r="K347" s="23" t="s">
        <v>1352</v>
      </c>
      <c r="L347" s="23" t="n">
        <v>6800</v>
      </c>
      <c r="M347" s="23" t="n">
        <v>1964</v>
      </c>
      <c r="N347" s="23" t="n">
        <v>12</v>
      </c>
      <c r="O347" s="23" t="n">
        <v>14</v>
      </c>
      <c r="P347" s="23" t="n">
        <v>125.08</v>
      </c>
      <c r="Q347" s="24" t="n">
        <v>19910000000000</v>
      </c>
      <c r="R347" s="23" t="n">
        <v>77</v>
      </c>
      <c r="S347" s="23" t="n">
        <v>9.4</v>
      </c>
      <c r="T347" s="23" t="n">
        <v>59.2</v>
      </c>
      <c r="U347" s="23" t="n">
        <v>1397715000</v>
      </c>
      <c r="V347" s="33" t="n">
        <f aca="false">YEARFRAC(W347,X347,1)</f>
        <v>61.0999521967755</v>
      </c>
      <c r="W347" s="34" t="n">
        <f aca="false">DATE(M347,N347,O347)</f>
        <v>23725</v>
      </c>
      <c r="X347" s="34" t="n">
        <f aca="true">TODAY()</f>
        <v>46042</v>
      </c>
    </row>
    <row r="348" customFormat="false" ht="15" hidden="false" customHeight="false" outlineLevel="0" collapsed="false">
      <c r="A348" s="23" t="n">
        <v>352</v>
      </c>
      <c r="B348" s="23" t="s">
        <v>305</v>
      </c>
      <c r="C348" s="23" t="s">
        <v>1353</v>
      </c>
      <c r="D348" s="23" t="s">
        <v>42</v>
      </c>
      <c r="E348" s="23" t="s">
        <v>742</v>
      </c>
      <c r="F348" s="23" t="s">
        <v>1212</v>
      </c>
      <c r="G348" s="23" t="s">
        <v>305</v>
      </c>
      <c r="H348" s="32" t="s">
        <v>36</v>
      </c>
      <c r="I348" s="23" t="s">
        <v>103</v>
      </c>
      <c r="J348" s="23" t="s">
        <v>1354</v>
      </c>
      <c r="K348" s="23" t="s">
        <v>1355</v>
      </c>
      <c r="L348" s="23" t="n">
        <v>6800</v>
      </c>
      <c r="M348" s="23" t="n">
        <v>1961</v>
      </c>
      <c r="N348" s="23" t="n">
        <v>8</v>
      </c>
      <c r="O348" s="23" t="n">
        <v>28</v>
      </c>
      <c r="P348" s="23" t="n">
        <v>117.24</v>
      </c>
      <c r="Q348" s="24" t="n">
        <v>21427700000000</v>
      </c>
      <c r="R348" s="23" t="n">
        <v>78.5</v>
      </c>
      <c r="S348" s="23" t="n">
        <v>9.6</v>
      </c>
      <c r="T348" s="23" t="n">
        <v>36.6</v>
      </c>
      <c r="U348" s="23" t="n">
        <v>328239523</v>
      </c>
      <c r="V348" s="33" t="n">
        <f aca="false">YEARFRAC(W348,X348,1)</f>
        <v>64.3983240686966</v>
      </c>
      <c r="W348" s="34" t="n">
        <f aca="false">DATE(M348,N348,O348)</f>
        <v>22521</v>
      </c>
      <c r="X348" s="34" t="n">
        <f aca="true">TODAY()</f>
        <v>46042</v>
      </c>
    </row>
    <row r="349" customFormat="false" ht="15" hidden="false" customHeight="false" outlineLevel="0" collapsed="false">
      <c r="A349" s="23" t="n">
        <v>365</v>
      </c>
      <c r="B349" s="23" t="s">
        <v>62</v>
      </c>
      <c r="C349" s="23" t="s">
        <v>1356</v>
      </c>
      <c r="D349" s="23" t="s">
        <v>42</v>
      </c>
      <c r="E349" s="23" t="s">
        <v>596</v>
      </c>
      <c r="F349" s="23" t="s">
        <v>1357</v>
      </c>
      <c r="G349" s="23" t="s">
        <v>62</v>
      </c>
      <c r="H349" s="32" t="s">
        <v>45</v>
      </c>
      <c r="I349" s="23" t="s">
        <v>37</v>
      </c>
      <c r="J349" s="23" t="s">
        <v>1358</v>
      </c>
      <c r="K349" s="23" t="s">
        <v>223</v>
      </c>
      <c r="L349" s="23" t="n">
        <v>6700</v>
      </c>
      <c r="M349" s="23" t="n">
        <v>1950</v>
      </c>
      <c r="N349" s="23" t="n">
        <v>11</v>
      </c>
      <c r="O349" s="23" t="n">
        <v>29</v>
      </c>
      <c r="P349" s="23" t="n">
        <v>117.24</v>
      </c>
      <c r="Q349" s="24" t="n">
        <v>21427700000000</v>
      </c>
      <c r="R349" s="23" t="n">
        <v>78.5</v>
      </c>
      <c r="S349" s="23" t="n">
        <v>9.6</v>
      </c>
      <c r="T349" s="23" t="n">
        <v>36.6</v>
      </c>
      <c r="U349" s="23" t="n">
        <v>328239523</v>
      </c>
      <c r="V349" s="33" t="n">
        <f aca="false">YEARFRAC(W349,X349,1)</f>
        <v>75.1437206656237</v>
      </c>
      <c r="W349" s="34" t="n">
        <f aca="false">DATE(M349,N349,O349)</f>
        <v>18596</v>
      </c>
      <c r="X349" s="34" t="n">
        <f aca="true">TODAY()</f>
        <v>46042</v>
      </c>
    </row>
    <row r="350" customFormat="false" ht="15" hidden="false" customHeight="false" outlineLevel="0" collapsed="false">
      <c r="A350" s="23" t="n">
        <v>365</v>
      </c>
      <c r="B350" s="23" t="s">
        <v>62</v>
      </c>
      <c r="C350" s="23" t="s">
        <v>1359</v>
      </c>
      <c r="D350" s="23" t="s">
        <v>241</v>
      </c>
      <c r="E350" s="23" t="s">
        <v>242</v>
      </c>
      <c r="F350" s="23" t="s">
        <v>221</v>
      </c>
      <c r="G350" s="23" t="s">
        <v>62</v>
      </c>
      <c r="H350" s="32" t="s">
        <v>45</v>
      </c>
      <c r="I350" s="23" t="s">
        <v>37</v>
      </c>
      <c r="J350" s="23" t="s">
        <v>1360</v>
      </c>
      <c r="K350" s="23" t="s">
        <v>1361</v>
      </c>
      <c r="L350" s="23" t="n">
        <v>6700</v>
      </c>
      <c r="M350" s="23" t="n">
        <v>1966</v>
      </c>
      <c r="N350" s="23" t="n">
        <v>10</v>
      </c>
      <c r="O350" s="23" t="n">
        <v>27</v>
      </c>
      <c r="P350" s="23" t="n">
        <v>119.62</v>
      </c>
      <c r="Q350" s="24" t="n">
        <v>2827113184696</v>
      </c>
      <c r="R350" s="23" t="n">
        <v>81.3</v>
      </c>
      <c r="S350" s="23" t="n">
        <v>25.5</v>
      </c>
      <c r="T350" s="23" t="n">
        <v>30.6</v>
      </c>
      <c r="U350" s="23" t="n">
        <v>66834405</v>
      </c>
      <c r="V350" s="33" t="n">
        <f aca="false">YEARFRAC(W350,X350,1)</f>
        <v>59.2340664272891</v>
      </c>
      <c r="W350" s="34" t="n">
        <f aca="false">DATE(M350,N350,O350)</f>
        <v>24407</v>
      </c>
      <c r="X350" s="34" t="n">
        <f aca="true">TODAY()</f>
        <v>46042</v>
      </c>
    </row>
    <row r="351" customFormat="false" ht="15" hidden="false" customHeight="false" outlineLevel="0" collapsed="false">
      <c r="A351" s="23" t="n">
        <v>365</v>
      </c>
      <c r="B351" s="23" t="s">
        <v>264</v>
      </c>
      <c r="C351" s="23" t="s">
        <v>1362</v>
      </c>
      <c r="D351" s="23" t="s">
        <v>1189</v>
      </c>
      <c r="E351" s="23" t="s">
        <v>1363</v>
      </c>
      <c r="F351" s="23" t="s">
        <v>1364</v>
      </c>
      <c r="G351" s="23" t="s">
        <v>264</v>
      </c>
      <c r="H351" s="32" t="s">
        <v>36</v>
      </c>
      <c r="I351" s="23" t="s">
        <v>37</v>
      </c>
      <c r="J351" s="23" t="s">
        <v>1365</v>
      </c>
      <c r="K351" s="23" t="s">
        <v>1366</v>
      </c>
      <c r="L351" s="23" t="n">
        <v>6700</v>
      </c>
      <c r="M351" s="23" t="n">
        <v>1947</v>
      </c>
      <c r="N351" s="23" t="n">
        <v>12</v>
      </c>
      <c r="O351" s="23" t="n">
        <v>27</v>
      </c>
      <c r="P351" s="23" t="n">
        <v>110.35</v>
      </c>
      <c r="Q351" s="24" t="n">
        <v>348078018464</v>
      </c>
      <c r="R351" s="23" t="n">
        <v>81</v>
      </c>
      <c r="S351" s="23" t="n">
        <v>32.4</v>
      </c>
      <c r="T351" s="23" t="n">
        <v>23.8</v>
      </c>
      <c r="U351" s="23" t="n">
        <v>5818553</v>
      </c>
      <c r="V351" s="33" t="n">
        <f aca="false">YEARFRAC(W351,X351,1)</f>
        <v>78.0670773442847</v>
      </c>
      <c r="W351" s="34" t="n">
        <f aca="false">DATE(M351,N351,O351)</f>
        <v>17528</v>
      </c>
      <c r="X351" s="34" t="n">
        <f aca="true">TODAY()</f>
        <v>46042</v>
      </c>
    </row>
    <row r="352" customFormat="false" ht="15" hidden="false" customHeight="false" outlineLevel="0" collapsed="false">
      <c r="A352" s="23" t="n">
        <v>365</v>
      </c>
      <c r="B352" s="23" t="s">
        <v>264</v>
      </c>
      <c r="C352" s="23" t="s">
        <v>1367</v>
      </c>
      <c r="D352" s="23" t="s">
        <v>1189</v>
      </c>
      <c r="E352" s="23" t="s">
        <v>1363</v>
      </c>
      <c r="F352" s="23" t="s">
        <v>1364</v>
      </c>
      <c r="G352" s="23" t="s">
        <v>264</v>
      </c>
      <c r="H352" s="32" t="s">
        <v>36</v>
      </c>
      <c r="I352" s="23" t="s">
        <v>103</v>
      </c>
      <c r="J352" s="23" t="s">
        <v>1365</v>
      </c>
      <c r="K352" s="23" t="s">
        <v>1368</v>
      </c>
      <c r="L352" s="23" t="n">
        <v>6700</v>
      </c>
      <c r="M352" s="23" t="n">
        <v>1976</v>
      </c>
      <c r="N352" s="23" t="n">
        <v>1</v>
      </c>
      <c r="O352" s="23" t="n">
        <v>1</v>
      </c>
      <c r="P352" s="23" t="n">
        <v>110.35</v>
      </c>
      <c r="Q352" s="24" t="n">
        <v>348078018464</v>
      </c>
      <c r="R352" s="23" t="n">
        <v>81</v>
      </c>
      <c r="S352" s="23" t="n">
        <v>32.4</v>
      </c>
      <c r="T352" s="23" t="n">
        <v>23.8</v>
      </c>
      <c r="U352" s="23" t="n">
        <v>5818553</v>
      </c>
      <c r="V352" s="33" t="n">
        <f aca="false">YEARFRAC(W352,X352,1)</f>
        <v>50.0527163409921</v>
      </c>
      <c r="W352" s="34" t="n">
        <f aca="false">DATE(M352,N352,O352)</f>
        <v>27760</v>
      </c>
      <c r="X352" s="34" t="n">
        <f aca="true">TODAY()</f>
        <v>46042</v>
      </c>
    </row>
    <row r="353" customFormat="false" ht="15" hidden="false" customHeight="false" outlineLevel="0" collapsed="false">
      <c r="A353" s="23" t="n">
        <v>365</v>
      </c>
      <c r="B353" s="23" t="s">
        <v>264</v>
      </c>
      <c r="C353" s="23" t="s">
        <v>1369</v>
      </c>
      <c r="D353" s="23" t="s">
        <v>1189</v>
      </c>
      <c r="E353" s="23" t="s">
        <v>1363</v>
      </c>
      <c r="F353" s="23" t="s">
        <v>1364</v>
      </c>
      <c r="G353" s="23" t="s">
        <v>264</v>
      </c>
      <c r="H353" s="32" t="s">
        <v>36</v>
      </c>
      <c r="I353" s="23" t="s">
        <v>37</v>
      </c>
      <c r="J353" s="23" t="s">
        <v>1365</v>
      </c>
      <c r="K353" s="23" t="s">
        <v>1370</v>
      </c>
      <c r="L353" s="23" t="n">
        <v>6700</v>
      </c>
      <c r="M353" s="23" t="n">
        <v>1979</v>
      </c>
      <c r="N353" s="23" t="n">
        <v>1</v>
      </c>
      <c r="O353" s="23" t="n">
        <v>1</v>
      </c>
      <c r="P353" s="23" t="n">
        <v>110.35</v>
      </c>
      <c r="Q353" s="24" t="n">
        <v>348078018464</v>
      </c>
      <c r="R353" s="23" t="n">
        <v>81</v>
      </c>
      <c r="S353" s="23" t="n">
        <v>32.4</v>
      </c>
      <c r="T353" s="23" t="n">
        <v>23.8</v>
      </c>
      <c r="U353" s="23" t="n">
        <v>5818553</v>
      </c>
      <c r="V353" s="33" t="n">
        <f aca="false">YEARFRAC(W353,X353,1)</f>
        <v>47.0527036276523</v>
      </c>
      <c r="W353" s="34" t="n">
        <f aca="false">DATE(M353,N353,O353)</f>
        <v>28856</v>
      </c>
      <c r="X353" s="34" t="n">
        <f aca="true">TODAY()</f>
        <v>46042</v>
      </c>
    </row>
    <row r="354" customFormat="false" ht="15" hidden="false" customHeight="false" outlineLevel="0" collapsed="false">
      <c r="A354" s="23" t="n">
        <v>365</v>
      </c>
      <c r="B354" s="23" t="s">
        <v>360</v>
      </c>
      <c r="C354" s="23" t="s">
        <v>1371</v>
      </c>
      <c r="D354" s="23" t="s">
        <v>683</v>
      </c>
      <c r="E354" s="23" t="s">
        <v>1372</v>
      </c>
      <c r="F354" s="23" t="s">
        <v>524</v>
      </c>
      <c r="G354" s="23" t="s">
        <v>360</v>
      </c>
      <c r="H354" s="32" t="s">
        <v>36</v>
      </c>
      <c r="I354" s="23" t="s">
        <v>103</v>
      </c>
      <c r="J354" s="23" t="s">
        <v>1373</v>
      </c>
      <c r="K354" s="23" t="s">
        <v>1374</v>
      </c>
      <c r="L354" s="23" t="n">
        <v>6700</v>
      </c>
      <c r="M354" s="23" t="n">
        <v>1943</v>
      </c>
      <c r="N354" s="23" t="n">
        <v>1</v>
      </c>
      <c r="O354" s="23" t="n">
        <v>1</v>
      </c>
      <c r="P354" s="23" t="n">
        <v>110.62</v>
      </c>
      <c r="Q354" s="24" t="n">
        <v>2001244392042</v>
      </c>
      <c r="R354" s="23" t="n">
        <v>82.9</v>
      </c>
      <c r="S354" s="23" t="n">
        <v>24.3</v>
      </c>
      <c r="T354" s="23" t="n">
        <v>59.1</v>
      </c>
      <c r="U354" s="23" t="n">
        <v>60297396</v>
      </c>
      <c r="V354" s="33" t="n">
        <f aca="false">YEARFRAC(W354,X354,1)</f>
        <v>83.0527036276523</v>
      </c>
      <c r="W354" s="34" t="n">
        <f aca="false">DATE(M354,N354,O354)</f>
        <v>15707</v>
      </c>
      <c r="X354" s="34" t="n">
        <f aca="true">TODAY()</f>
        <v>46042</v>
      </c>
    </row>
    <row r="355" customFormat="false" ht="15" hidden="false" customHeight="false" outlineLevel="0" collapsed="false">
      <c r="A355" s="23" t="n">
        <v>365</v>
      </c>
      <c r="B355" s="23" t="s">
        <v>40</v>
      </c>
      <c r="C355" s="23" t="s">
        <v>1375</v>
      </c>
      <c r="D355" s="23" t="s">
        <v>126</v>
      </c>
      <c r="E355" s="23" t="s">
        <v>230</v>
      </c>
      <c r="F355" s="23" t="s">
        <v>231</v>
      </c>
      <c r="G355" s="23" t="s">
        <v>40</v>
      </c>
      <c r="H355" s="32" t="s">
        <v>45</v>
      </c>
      <c r="I355" s="23" t="s">
        <v>37</v>
      </c>
      <c r="J355" s="23" t="s">
        <v>428</v>
      </c>
      <c r="K355" s="23" t="s">
        <v>1376</v>
      </c>
      <c r="L355" s="23" t="n">
        <v>6700</v>
      </c>
      <c r="M355" s="23" t="n">
        <v>1968</v>
      </c>
      <c r="N355" s="23" t="n">
        <v>1</v>
      </c>
      <c r="O355" s="23" t="n">
        <v>1</v>
      </c>
      <c r="P355" s="23" t="n">
        <v>125.08</v>
      </c>
      <c r="Q355" s="24" t="n">
        <v>19910000000000</v>
      </c>
      <c r="R355" s="23" t="n">
        <v>77</v>
      </c>
      <c r="S355" s="23" t="n">
        <v>9.4</v>
      </c>
      <c r="T355" s="23" t="n">
        <v>59.2</v>
      </c>
      <c r="U355" s="23" t="n">
        <v>1397715000</v>
      </c>
      <c r="V355" s="33" t="n">
        <f aca="false">YEARFRAC(W355,X355,1)</f>
        <v>58.0527146171694</v>
      </c>
      <c r="W355" s="34" t="n">
        <f aca="false">DATE(M355,N355,O355)</f>
        <v>24838</v>
      </c>
      <c r="X355" s="34" t="n">
        <f aca="true">TODAY()</f>
        <v>46042</v>
      </c>
    </row>
    <row r="356" customFormat="false" ht="15" hidden="false" customHeight="false" outlineLevel="0" collapsed="false">
      <c r="A356" s="23" t="n">
        <v>365</v>
      </c>
      <c r="B356" s="23" t="s">
        <v>264</v>
      </c>
      <c r="C356" s="23" t="s">
        <v>1377</v>
      </c>
      <c r="D356" s="23" t="s">
        <v>126</v>
      </c>
      <c r="E356" s="23" t="s">
        <v>127</v>
      </c>
      <c r="F356" s="23" t="s">
        <v>1378</v>
      </c>
      <c r="G356" s="23" t="s">
        <v>264</v>
      </c>
      <c r="H356" s="32" t="s">
        <v>45</v>
      </c>
      <c r="I356" s="23" t="s">
        <v>37</v>
      </c>
      <c r="J356" s="23" t="s">
        <v>1379</v>
      </c>
      <c r="K356" s="23" t="s">
        <v>940</v>
      </c>
      <c r="L356" s="23" t="n">
        <v>6700</v>
      </c>
      <c r="M356" s="23" t="n">
        <v>1962</v>
      </c>
      <c r="N356" s="23" t="n">
        <v>8</v>
      </c>
      <c r="O356" s="23" t="n">
        <v>1</v>
      </c>
      <c r="P356" s="23" t="n">
        <v>125.08</v>
      </c>
      <c r="Q356" s="24" t="n">
        <v>19910000000000</v>
      </c>
      <c r="R356" s="23" t="n">
        <v>77</v>
      </c>
      <c r="S356" s="23" t="n">
        <v>9.4</v>
      </c>
      <c r="T356" s="23" t="n">
        <v>59.2</v>
      </c>
      <c r="U356" s="23" t="n">
        <v>1397715000</v>
      </c>
      <c r="V356" s="33" t="n">
        <f aca="false">YEARFRAC(W356,X356,1)</f>
        <v>63.4722631734131</v>
      </c>
      <c r="W356" s="34" t="n">
        <f aca="false">DATE(M356,N356,O356)</f>
        <v>22859</v>
      </c>
      <c r="X356" s="34" t="n">
        <f aca="true">TODAY()</f>
        <v>46042</v>
      </c>
    </row>
    <row r="357" customFormat="false" ht="15" hidden="false" customHeight="false" outlineLevel="0" collapsed="false">
      <c r="A357" s="23" t="n">
        <v>365</v>
      </c>
      <c r="B357" s="23" t="s">
        <v>264</v>
      </c>
      <c r="C357" s="23" t="s">
        <v>1380</v>
      </c>
      <c r="D357" s="23" t="s">
        <v>189</v>
      </c>
      <c r="E357" s="23" t="s">
        <v>1381</v>
      </c>
      <c r="F357" s="23" t="s">
        <v>357</v>
      </c>
      <c r="G357" s="23" t="s">
        <v>264</v>
      </c>
      <c r="H357" s="32" t="s">
        <v>36</v>
      </c>
      <c r="I357" s="23" t="s">
        <v>103</v>
      </c>
      <c r="J357" s="23" t="s">
        <v>1382</v>
      </c>
      <c r="K357" s="23" t="s">
        <v>1383</v>
      </c>
      <c r="L357" s="23" t="n">
        <v>6700</v>
      </c>
      <c r="M357" s="23" t="n">
        <v>1969</v>
      </c>
      <c r="N357" s="23" t="n">
        <v>1</v>
      </c>
      <c r="O357" s="23" t="n">
        <v>1</v>
      </c>
      <c r="P357" s="23" t="n">
        <v>99.55</v>
      </c>
      <c r="Q357" s="24" t="n">
        <v>703082435360</v>
      </c>
      <c r="R357" s="23" t="n">
        <v>83.6</v>
      </c>
      <c r="S357" s="23" t="n">
        <v>10.1</v>
      </c>
      <c r="T357" s="23" t="n">
        <v>28.8</v>
      </c>
      <c r="U357" s="23" t="n">
        <v>8574832</v>
      </c>
      <c r="V357" s="33" t="n">
        <f aca="false">YEARFRAC(W357,X357,1)</f>
        <v>57.0526812688822</v>
      </c>
      <c r="W357" s="34" t="n">
        <f aca="false">DATE(M357,N357,O357)</f>
        <v>25204</v>
      </c>
      <c r="X357" s="34" t="n">
        <f aca="true">TODAY()</f>
        <v>46042</v>
      </c>
    </row>
    <row r="358" customFormat="false" ht="15" hidden="false" customHeight="false" outlineLevel="0" collapsed="false">
      <c r="A358" s="23" t="n">
        <v>365</v>
      </c>
      <c r="B358" s="23" t="s">
        <v>82</v>
      </c>
      <c r="C358" s="23" t="s">
        <v>1384</v>
      </c>
      <c r="D358" s="23" t="s">
        <v>33</v>
      </c>
      <c r="E358" s="23" t="s">
        <v>34</v>
      </c>
      <c r="F358" s="23" t="s">
        <v>367</v>
      </c>
      <c r="G358" s="23" t="s">
        <v>82</v>
      </c>
      <c r="H358" s="32" t="s">
        <v>45</v>
      </c>
      <c r="I358" s="23" t="s">
        <v>37</v>
      </c>
      <c r="J358" s="23" t="s">
        <v>1385</v>
      </c>
      <c r="K358" s="23" t="s">
        <v>1386</v>
      </c>
      <c r="L358" s="23" t="n">
        <v>6700</v>
      </c>
      <c r="M358" s="23" t="n">
        <v>1967</v>
      </c>
      <c r="N358" s="23" t="n">
        <v>8</v>
      </c>
      <c r="O358" s="23" t="n">
        <v>25</v>
      </c>
      <c r="P358" s="23" t="n">
        <v>110.05</v>
      </c>
      <c r="Q358" s="24" t="n">
        <v>2715518274227</v>
      </c>
      <c r="R358" s="23" t="n">
        <v>82.5</v>
      </c>
      <c r="S358" s="23" t="n">
        <v>24.2</v>
      </c>
      <c r="T358" s="23" t="n">
        <v>60.7</v>
      </c>
      <c r="U358" s="23" t="n">
        <v>67059887</v>
      </c>
      <c r="V358" s="33" t="n">
        <f aca="false">YEARFRAC(W358,X358,1)</f>
        <v>58.4065708418891</v>
      </c>
      <c r="W358" s="34" t="n">
        <f aca="false">DATE(M358,N358,O358)</f>
        <v>24709</v>
      </c>
      <c r="X358" s="34" t="n">
        <f aca="true">TODAY()</f>
        <v>46042</v>
      </c>
    </row>
    <row r="359" customFormat="false" ht="15" hidden="false" customHeight="false" outlineLevel="0" collapsed="false">
      <c r="A359" s="23" t="n">
        <v>365</v>
      </c>
      <c r="B359" s="23" t="s">
        <v>305</v>
      </c>
      <c r="C359" s="23" t="s">
        <v>1387</v>
      </c>
      <c r="D359" s="23" t="s">
        <v>42</v>
      </c>
      <c r="E359" s="23" t="s">
        <v>1388</v>
      </c>
      <c r="F359" s="23" t="s">
        <v>1389</v>
      </c>
      <c r="G359" s="23" t="s">
        <v>305</v>
      </c>
      <c r="H359" s="32" t="s">
        <v>45</v>
      </c>
      <c r="I359" s="23" t="s">
        <v>37</v>
      </c>
      <c r="J359" s="23" t="s">
        <v>1390</v>
      </c>
      <c r="K359" s="23" t="s">
        <v>1391</v>
      </c>
      <c r="L359" s="23" t="n">
        <v>6700</v>
      </c>
      <c r="M359" s="23" t="n">
        <v>1951</v>
      </c>
      <c r="N359" s="23" t="n">
        <v>3</v>
      </c>
      <c r="O359" s="23" t="n">
        <v>27</v>
      </c>
      <c r="P359" s="23" t="n">
        <v>117.24</v>
      </c>
      <c r="Q359" s="24" t="n">
        <v>21427700000000</v>
      </c>
      <c r="R359" s="23" t="n">
        <v>78.5</v>
      </c>
      <c r="S359" s="23" t="n">
        <v>9.6</v>
      </c>
      <c r="T359" s="23" t="n">
        <v>36.6</v>
      </c>
      <c r="U359" s="23" t="n">
        <v>328239523</v>
      </c>
      <c r="V359" s="33" t="n">
        <f aca="false">YEARFRAC(W359,X359,1)</f>
        <v>74.8199863107461</v>
      </c>
      <c r="W359" s="34" t="n">
        <f aca="false">DATE(M359,N359,O359)</f>
        <v>18714</v>
      </c>
      <c r="X359" s="34" t="n">
        <f aca="true">TODAY()</f>
        <v>46042</v>
      </c>
    </row>
    <row r="360" customFormat="false" ht="15" hidden="false" customHeight="false" outlineLevel="0" collapsed="false">
      <c r="A360" s="23" t="n">
        <v>365</v>
      </c>
      <c r="B360" s="23" t="s">
        <v>471</v>
      </c>
      <c r="C360" s="23" t="s">
        <v>1392</v>
      </c>
      <c r="D360" s="23" t="s">
        <v>42</v>
      </c>
      <c r="E360" s="23" t="s">
        <v>829</v>
      </c>
      <c r="F360" s="23" t="s">
        <v>474</v>
      </c>
      <c r="G360" s="23" t="s">
        <v>471</v>
      </c>
      <c r="H360" s="32" t="s">
        <v>36</v>
      </c>
      <c r="I360" s="23" t="s">
        <v>37</v>
      </c>
      <c r="J360" s="23" t="s">
        <v>1393</v>
      </c>
      <c r="K360" s="23" t="s">
        <v>1333</v>
      </c>
      <c r="L360" s="23" t="n">
        <v>6700</v>
      </c>
      <c r="M360" s="23" t="n">
        <v>1938</v>
      </c>
      <c r="N360" s="23" t="n">
        <v>12</v>
      </c>
      <c r="O360" s="23" t="n">
        <v>25</v>
      </c>
      <c r="P360" s="23" t="n">
        <v>117.24</v>
      </c>
      <c r="Q360" s="24" t="n">
        <v>21427700000000</v>
      </c>
      <c r="R360" s="23" t="n">
        <v>78.5</v>
      </c>
      <c r="S360" s="23" t="n">
        <v>9.6</v>
      </c>
      <c r="T360" s="23" t="n">
        <v>36.6</v>
      </c>
      <c r="U360" s="23" t="n">
        <v>328239523</v>
      </c>
      <c r="V360" s="33" t="n">
        <f aca="false">YEARFRAC(W360,X360,1)</f>
        <v>87.0725382225367</v>
      </c>
      <c r="W360" s="34" t="n">
        <f aca="false">DATE(M360,N360,O360)</f>
        <v>14239</v>
      </c>
      <c r="X360" s="34" t="n">
        <f aca="true">TODAY()</f>
        <v>46042</v>
      </c>
    </row>
    <row r="361" customFormat="false" ht="15" hidden="false" customHeight="false" outlineLevel="0" collapsed="false">
      <c r="A361" s="23" t="n">
        <v>365</v>
      </c>
      <c r="B361" s="23" t="s">
        <v>471</v>
      </c>
      <c r="C361" s="23" t="s">
        <v>1394</v>
      </c>
      <c r="D361" s="23" t="s">
        <v>42</v>
      </c>
      <c r="E361" s="23" t="s">
        <v>510</v>
      </c>
      <c r="F361" s="23" t="s">
        <v>474</v>
      </c>
      <c r="G361" s="23" t="s">
        <v>471</v>
      </c>
      <c r="H361" s="32" t="s">
        <v>45</v>
      </c>
      <c r="I361" s="23" t="s">
        <v>37</v>
      </c>
      <c r="J361" s="23" t="s">
        <v>1395</v>
      </c>
      <c r="K361" s="23" t="s">
        <v>1396</v>
      </c>
      <c r="L361" s="23" t="n">
        <v>6700</v>
      </c>
      <c r="M361" s="23" t="n">
        <v>1939</v>
      </c>
      <c r="N361" s="23" t="n">
        <v>5</v>
      </c>
      <c r="O361" s="23" t="n">
        <v>23</v>
      </c>
      <c r="P361" s="23" t="n">
        <v>117.24</v>
      </c>
      <c r="Q361" s="24" t="n">
        <v>21427700000000</v>
      </c>
      <c r="R361" s="23" t="n">
        <v>78.5</v>
      </c>
      <c r="S361" s="23" t="n">
        <v>9.6</v>
      </c>
      <c r="T361" s="23" t="n">
        <v>36.6</v>
      </c>
      <c r="U361" s="23" t="n">
        <v>328239523</v>
      </c>
      <c r="V361" s="33" t="n">
        <f aca="false">YEARFRAC(W361,X361,1)</f>
        <v>86.6639288158795</v>
      </c>
      <c r="W361" s="34" t="n">
        <f aca="false">DATE(M361,N361,O361)</f>
        <v>14388</v>
      </c>
      <c r="X361" s="34" t="n">
        <f aca="true">TODAY()</f>
        <v>46042</v>
      </c>
    </row>
    <row r="362" customFormat="false" ht="15" hidden="false" customHeight="false" outlineLevel="0" collapsed="false">
      <c r="A362" s="23" t="n">
        <v>365</v>
      </c>
      <c r="B362" s="23" t="s">
        <v>62</v>
      </c>
      <c r="C362" s="23" t="s">
        <v>1397</v>
      </c>
      <c r="D362" s="23" t="s">
        <v>42</v>
      </c>
      <c r="E362" s="23" t="s">
        <v>1398</v>
      </c>
      <c r="F362" s="23" t="s">
        <v>221</v>
      </c>
      <c r="G362" s="23" t="s">
        <v>62</v>
      </c>
      <c r="H362" s="32" t="s">
        <v>45</v>
      </c>
      <c r="I362" s="23" t="s">
        <v>37</v>
      </c>
      <c r="J362" s="23" t="s">
        <v>1399</v>
      </c>
      <c r="K362" s="23" t="s">
        <v>604</v>
      </c>
      <c r="L362" s="23" t="n">
        <v>6700</v>
      </c>
      <c r="M362" s="23" t="n">
        <v>1930</v>
      </c>
      <c r="N362" s="23" t="n">
        <v>8</v>
      </c>
      <c r="O362" s="23" t="n">
        <v>12</v>
      </c>
      <c r="P362" s="23" t="n">
        <v>117.24</v>
      </c>
      <c r="Q362" s="24" t="n">
        <v>21427700000000</v>
      </c>
      <c r="R362" s="23" t="n">
        <v>78.5</v>
      </c>
      <c r="S362" s="23" t="n">
        <v>9.6</v>
      </c>
      <c r="T362" s="23" t="n">
        <v>36.6</v>
      </c>
      <c r="U362" s="23" t="n">
        <v>328239523</v>
      </c>
      <c r="V362" s="33" t="n">
        <f aca="false">YEARFRAC(W362,X362,1)</f>
        <v>95.4421519094527</v>
      </c>
      <c r="W362" s="34" t="n">
        <f aca="false">DATE(M362,N362,O362)</f>
        <v>11182</v>
      </c>
      <c r="X362" s="34" t="n">
        <f aca="true">TODAY()</f>
        <v>46042</v>
      </c>
    </row>
    <row r="363" customFormat="false" ht="15" hidden="false" customHeight="false" outlineLevel="0" collapsed="false">
      <c r="A363" s="23" t="n">
        <v>365</v>
      </c>
      <c r="B363" s="23" t="s">
        <v>49</v>
      </c>
      <c r="C363" s="23" t="s">
        <v>1400</v>
      </c>
      <c r="D363" s="23" t="s">
        <v>42</v>
      </c>
      <c r="E363" s="23" t="s">
        <v>1401</v>
      </c>
      <c r="F363" s="23" t="s">
        <v>1402</v>
      </c>
      <c r="G363" s="23" t="s">
        <v>49</v>
      </c>
      <c r="H363" s="32" t="s">
        <v>45</v>
      </c>
      <c r="I363" s="23" t="s">
        <v>37</v>
      </c>
      <c r="J363" s="23" t="s">
        <v>813</v>
      </c>
      <c r="K363" s="23" t="s">
        <v>158</v>
      </c>
      <c r="L363" s="23" t="n">
        <v>6700</v>
      </c>
      <c r="M363" s="23" t="n">
        <v>1951</v>
      </c>
      <c r="N363" s="23" t="n">
        <v>10</v>
      </c>
      <c r="O363" s="23" t="n">
        <v>12</v>
      </c>
      <c r="P363" s="23" t="n">
        <v>117.24</v>
      </c>
      <c r="Q363" s="24" t="n">
        <v>21427700000000</v>
      </c>
      <c r="R363" s="23" t="n">
        <v>78.5</v>
      </c>
      <c r="S363" s="23" t="n">
        <v>9.6</v>
      </c>
      <c r="T363" s="23" t="n">
        <v>36.6</v>
      </c>
      <c r="U363" s="23" t="n">
        <v>328239523</v>
      </c>
      <c r="V363" s="33" t="n">
        <f aca="false">YEARFRAC(W363,X363,1)</f>
        <v>74.2751540041068</v>
      </c>
      <c r="W363" s="34" t="n">
        <f aca="false">DATE(M363,N363,O363)</f>
        <v>18913</v>
      </c>
      <c r="X363" s="34" t="n">
        <f aca="true">TODAY()</f>
        <v>46042</v>
      </c>
    </row>
    <row r="364" customFormat="false" ht="15" hidden="false" customHeight="false" outlineLevel="0" collapsed="false">
      <c r="A364" s="23" t="n">
        <v>365</v>
      </c>
      <c r="B364" s="23" t="s">
        <v>264</v>
      </c>
      <c r="C364" s="23" t="s">
        <v>1403</v>
      </c>
      <c r="D364" s="23" t="s">
        <v>1189</v>
      </c>
      <c r="E364" s="23" t="s">
        <v>1363</v>
      </c>
      <c r="F364" s="23" t="s">
        <v>1364</v>
      </c>
      <c r="G364" s="23" t="s">
        <v>264</v>
      </c>
      <c r="H364" s="32" t="s">
        <v>36</v>
      </c>
      <c r="I364" s="23" t="s">
        <v>103</v>
      </c>
      <c r="J364" s="23" t="s">
        <v>1404</v>
      </c>
      <c r="K364" s="23" t="s">
        <v>1405</v>
      </c>
      <c r="L364" s="23" t="n">
        <v>6700</v>
      </c>
      <c r="M364" s="23" t="n">
        <v>1983</v>
      </c>
      <c r="N364" s="23" t="n">
        <v>5</v>
      </c>
      <c r="O364" s="23" t="n">
        <v>18</v>
      </c>
      <c r="P364" s="23" t="n">
        <v>110.35</v>
      </c>
      <c r="Q364" s="24" t="n">
        <v>348078018464</v>
      </c>
      <c r="R364" s="23" t="n">
        <v>81</v>
      </c>
      <c r="S364" s="23" t="n">
        <v>32.4</v>
      </c>
      <c r="T364" s="23" t="n">
        <v>23.8</v>
      </c>
      <c r="U364" s="23" t="n">
        <v>5818553</v>
      </c>
      <c r="V364" s="33" t="n">
        <f aca="false">YEARFRAC(W364,X364,1)</f>
        <v>42.6776180698152</v>
      </c>
      <c r="W364" s="34" t="n">
        <f aca="false">DATE(M364,N364,O364)</f>
        <v>30454</v>
      </c>
      <c r="X364" s="34" t="n">
        <f aca="true">TODAY()</f>
        <v>46042</v>
      </c>
    </row>
    <row r="365" customFormat="false" ht="15" hidden="false" customHeight="false" outlineLevel="0" collapsed="false">
      <c r="A365" s="23" t="n">
        <v>365</v>
      </c>
      <c r="B365" s="23" t="s">
        <v>49</v>
      </c>
      <c r="C365" s="23" t="s">
        <v>1406</v>
      </c>
      <c r="D365" s="23" t="s">
        <v>42</v>
      </c>
      <c r="E365" s="23" t="s">
        <v>1407</v>
      </c>
      <c r="F365" s="23" t="s">
        <v>1402</v>
      </c>
      <c r="G365" s="23" t="s">
        <v>49</v>
      </c>
      <c r="H365" s="32" t="s">
        <v>45</v>
      </c>
      <c r="I365" s="23" t="s">
        <v>37</v>
      </c>
      <c r="J365" s="23" t="s">
        <v>1408</v>
      </c>
      <c r="K365" s="23" t="s">
        <v>207</v>
      </c>
      <c r="L365" s="23" t="n">
        <v>6700</v>
      </c>
      <c r="M365" s="23" t="n">
        <v>1941</v>
      </c>
      <c r="N365" s="23" t="n">
        <v>8</v>
      </c>
      <c r="O365" s="23" t="n">
        <v>12</v>
      </c>
      <c r="P365" s="23" t="n">
        <v>117.24</v>
      </c>
      <c r="Q365" s="24" t="n">
        <v>21427700000000</v>
      </c>
      <c r="R365" s="23" t="n">
        <v>78.5</v>
      </c>
      <c r="S365" s="23" t="n">
        <v>9.6</v>
      </c>
      <c r="T365" s="23" t="n">
        <v>36.6</v>
      </c>
      <c r="U365" s="23" t="n">
        <v>328239523</v>
      </c>
      <c r="V365" s="33" t="n">
        <f aca="false">YEARFRAC(W365,X365,1)</f>
        <v>84.4421381044857</v>
      </c>
      <c r="W365" s="34" t="n">
        <f aca="false">DATE(M365,N365,O365)</f>
        <v>15200</v>
      </c>
      <c r="X365" s="34" t="n">
        <f aca="true">TODAY()</f>
        <v>46042</v>
      </c>
    </row>
    <row r="366" customFormat="false" ht="15" hidden="false" customHeight="false" outlineLevel="0" collapsed="false">
      <c r="A366" s="23" t="n">
        <v>365</v>
      </c>
      <c r="B366" s="23" t="s">
        <v>124</v>
      </c>
      <c r="C366" s="23" t="s">
        <v>1409</v>
      </c>
      <c r="D366" s="23" t="s">
        <v>126</v>
      </c>
      <c r="E366" s="23" t="s">
        <v>1057</v>
      </c>
      <c r="F366" s="23" t="s">
        <v>1410</v>
      </c>
      <c r="G366" s="23" t="s">
        <v>124</v>
      </c>
      <c r="H366" s="32" t="s">
        <v>45</v>
      </c>
      <c r="I366" s="23" t="s">
        <v>37</v>
      </c>
      <c r="J366" s="23" t="s">
        <v>555</v>
      </c>
      <c r="K366" s="23" t="s">
        <v>1411</v>
      </c>
      <c r="L366" s="23" t="n">
        <v>6700</v>
      </c>
      <c r="M366" s="23" t="n">
        <v>1958</v>
      </c>
      <c r="N366" s="23" t="n">
        <v>1</v>
      </c>
      <c r="O366" s="23" t="n">
        <v>1</v>
      </c>
      <c r="P366" s="23" t="n">
        <v>125.08</v>
      </c>
      <c r="Q366" s="24" t="n">
        <v>19910000000000</v>
      </c>
      <c r="R366" s="23" t="n">
        <v>77</v>
      </c>
      <c r="S366" s="23" t="n">
        <v>9.4</v>
      </c>
      <c r="T366" s="23" t="n">
        <v>59.2</v>
      </c>
      <c r="U366" s="23" t="n">
        <v>1397715000</v>
      </c>
      <c r="V366" s="33" t="n">
        <f aca="false">YEARFRAC(W366,X366,1)</f>
        <v>68.0526942306166</v>
      </c>
      <c r="W366" s="34" t="n">
        <f aca="false">DATE(M366,N366,O366)</f>
        <v>21186</v>
      </c>
      <c r="X366" s="34" t="n">
        <f aca="true">TODAY()</f>
        <v>46042</v>
      </c>
    </row>
    <row r="367" customFormat="false" ht="15" hidden="false" customHeight="false" outlineLevel="0" collapsed="false">
      <c r="A367" s="23" t="n">
        <v>383</v>
      </c>
      <c r="B367" s="23" t="s">
        <v>264</v>
      </c>
      <c r="C367" s="23" t="s">
        <v>1412</v>
      </c>
      <c r="D367" s="23" t="s">
        <v>189</v>
      </c>
      <c r="E367" s="23" t="s">
        <v>1413</v>
      </c>
      <c r="F367" s="23" t="s">
        <v>357</v>
      </c>
      <c r="G367" s="23" t="s">
        <v>264</v>
      </c>
      <c r="H367" s="32" t="s">
        <v>36</v>
      </c>
      <c r="I367" s="23" t="s">
        <v>103</v>
      </c>
      <c r="J367" s="23" t="s">
        <v>1414</v>
      </c>
      <c r="K367" s="23" t="s">
        <v>1415</v>
      </c>
      <c r="L367" s="23" t="n">
        <v>6600</v>
      </c>
      <c r="M367" s="23" t="n">
        <v>1976</v>
      </c>
      <c r="N367" s="23" t="n">
        <v>1</v>
      </c>
      <c r="O367" s="23" t="n">
        <v>1</v>
      </c>
      <c r="P367" s="23" t="n">
        <v>99.55</v>
      </c>
      <c r="Q367" s="24" t="n">
        <v>703082435360</v>
      </c>
      <c r="R367" s="23" t="n">
        <v>83.6</v>
      </c>
      <c r="S367" s="23" t="n">
        <v>10.1</v>
      </c>
      <c r="T367" s="23" t="n">
        <v>28.8</v>
      </c>
      <c r="U367" s="23" t="n">
        <v>8574832</v>
      </c>
      <c r="V367" s="33" t="n">
        <f aca="false">YEARFRAC(W367,X367,1)</f>
        <v>50.0527163409921</v>
      </c>
      <c r="W367" s="34" t="n">
        <f aca="false">DATE(M367,N367,O367)</f>
        <v>27760</v>
      </c>
      <c r="X367" s="34" t="n">
        <f aca="true">TODAY()</f>
        <v>46042</v>
      </c>
    </row>
    <row r="368" customFormat="false" ht="15" hidden="false" customHeight="false" outlineLevel="0" collapsed="false">
      <c r="A368" s="23" t="n">
        <v>383</v>
      </c>
      <c r="B368" s="23" t="s">
        <v>124</v>
      </c>
      <c r="C368" s="23" t="s">
        <v>1416</v>
      </c>
      <c r="D368" s="23" t="s">
        <v>42</v>
      </c>
      <c r="E368" s="23" t="s">
        <v>980</v>
      </c>
      <c r="F368" s="23" t="s">
        <v>1417</v>
      </c>
      <c r="G368" s="23" t="s">
        <v>124</v>
      </c>
      <c r="H368" s="32" t="s">
        <v>36</v>
      </c>
      <c r="I368" s="23" t="s">
        <v>37</v>
      </c>
      <c r="J368" s="23" t="s">
        <v>1418</v>
      </c>
      <c r="K368" s="23" t="s">
        <v>1419</v>
      </c>
      <c r="L368" s="23" t="n">
        <v>6600</v>
      </c>
      <c r="M368" s="23" t="n">
        <v>1954</v>
      </c>
      <c r="N368" s="23" t="n">
        <v>4</v>
      </c>
      <c r="O368" s="23" t="n">
        <v>22</v>
      </c>
      <c r="P368" s="23" t="n">
        <v>117.24</v>
      </c>
      <c r="Q368" s="24" t="n">
        <v>21427700000000</v>
      </c>
      <c r="R368" s="23" t="n">
        <v>78.5</v>
      </c>
      <c r="S368" s="23" t="n">
        <v>9.6</v>
      </c>
      <c r="T368" s="23" t="n">
        <v>36.6</v>
      </c>
      <c r="U368" s="23" t="n">
        <v>328239523</v>
      </c>
      <c r="V368" s="33" t="n">
        <f aca="false">YEARFRAC(W368,X368,1)</f>
        <v>71.7487904586881</v>
      </c>
      <c r="W368" s="34" t="n">
        <f aca="false">DATE(M368,N368,O368)</f>
        <v>19836</v>
      </c>
      <c r="X368" s="34" t="n">
        <f aca="true">TODAY()</f>
        <v>46042</v>
      </c>
    </row>
    <row r="369" customFormat="false" ht="15" hidden="false" customHeight="false" outlineLevel="0" collapsed="false">
      <c r="A369" s="23" t="n">
        <v>383</v>
      </c>
      <c r="B369" s="23" t="s">
        <v>124</v>
      </c>
      <c r="C369" s="23" t="s">
        <v>1420</v>
      </c>
      <c r="D369" s="23" t="s">
        <v>42</v>
      </c>
      <c r="E369" s="23" t="s">
        <v>980</v>
      </c>
      <c r="F369" s="23" t="s">
        <v>1417</v>
      </c>
      <c r="G369" s="23" t="s">
        <v>124</v>
      </c>
      <c r="H369" s="32" t="s">
        <v>36</v>
      </c>
      <c r="I369" s="23" t="s">
        <v>37</v>
      </c>
      <c r="J369" s="23" t="s">
        <v>1418</v>
      </c>
      <c r="K369" s="23" t="s">
        <v>1421</v>
      </c>
      <c r="L369" s="23" t="n">
        <v>6600</v>
      </c>
      <c r="M369" s="23" t="n">
        <v>1953</v>
      </c>
      <c r="N369" s="23" t="n">
        <v>3</v>
      </c>
      <c r="O369" s="23" t="n">
        <v>1</v>
      </c>
      <c r="P369" s="23" t="n">
        <v>117.24</v>
      </c>
      <c r="Q369" s="24" t="n">
        <v>21427700000000</v>
      </c>
      <c r="R369" s="23" t="n">
        <v>78.5</v>
      </c>
      <c r="S369" s="23" t="n">
        <v>9.6</v>
      </c>
      <c r="T369" s="23" t="n">
        <v>36.6</v>
      </c>
      <c r="U369" s="23" t="n">
        <v>328239523</v>
      </c>
      <c r="V369" s="33" t="n">
        <f aca="false">YEARFRAC(W369,X369,1)</f>
        <v>72.8911499186029</v>
      </c>
      <c r="W369" s="34" t="n">
        <f aca="false">DATE(M369,N369,O369)</f>
        <v>19419</v>
      </c>
      <c r="X369" s="34" t="n">
        <f aca="true">TODAY()</f>
        <v>46042</v>
      </c>
    </row>
    <row r="370" customFormat="false" ht="15" hidden="false" customHeight="false" outlineLevel="0" collapsed="false">
      <c r="A370" s="23" t="n">
        <v>383</v>
      </c>
      <c r="B370" s="23" t="s">
        <v>124</v>
      </c>
      <c r="C370" s="23" t="s">
        <v>1422</v>
      </c>
      <c r="D370" s="23" t="s">
        <v>42</v>
      </c>
      <c r="E370" s="23" t="s">
        <v>1423</v>
      </c>
      <c r="F370" s="23" t="s">
        <v>1417</v>
      </c>
      <c r="G370" s="23" t="s">
        <v>124</v>
      </c>
      <c r="H370" s="32" t="s">
        <v>36</v>
      </c>
      <c r="I370" s="23" t="s">
        <v>103</v>
      </c>
      <c r="J370" s="23" t="s">
        <v>1424</v>
      </c>
      <c r="K370" s="23" t="s">
        <v>1425</v>
      </c>
      <c r="L370" s="23" t="n">
        <v>6600</v>
      </c>
      <c r="M370" s="23" t="n">
        <v>1955</v>
      </c>
      <c r="N370" s="23" t="n">
        <v>12</v>
      </c>
      <c r="O370" s="23" t="n">
        <v>17</v>
      </c>
      <c r="P370" s="23" t="n">
        <v>117.24</v>
      </c>
      <c r="Q370" s="24" t="n">
        <v>21427700000000</v>
      </c>
      <c r="R370" s="23" t="n">
        <v>78.5</v>
      </c>
      <c r="S370" s="23" t="n">
        <v>9.6</v>
      </c>
      <c r="T370" s="23" t="n">
        <v>36.6</v>
      </c>
      <c r="U370" s="23" t="n">
        <v>328239523</v>
      </c>
      <c r="V370" s="33" t="n">
        <f aca="false">YEARFRAC(W370,X370,1)</f>
        <v>70.0944558521561</v>
      </c>
      <c r="W370" s="34" t="n">
        <f aca="false">DATE(M370,N370,O370)</f>
        <v>20440</v>
      </c>
      <c r="X370" s="34" t="n">
        <f aca="true">TODAY()</f>
        <v>46042</v>
      </c>
    </row>
    <row r="371" customFormat="false" ht="15" hidden="false" customHeight="false" outlineLevel="0" collapsed="false">
      <c r="A371" s="23" t="n">
        <v>383</v>
      </c>
      <c r="B371" s="23" t="s">
        <v>62</v>
      </c>
      <c r="C371" s="23" t="s">
        <v>1426</v>
      </c>
      <c r="D371" s="23" t="s">
        <v>42</v>
      </c>
      <c r="E371" s="23" t="s">
        <v>77</v>
      </c>
      <c r="F371" s="23" t="s">
        <v>221</v>
      </c>
      <c r="G371" s="23" t="s">
        <v>62</v>
      </c>
      <c r="H371" s="32" t="s">
        <v>45</v>
      </c>
      <c r="I371" s="23" t="s">
        <v>37</v>
      </c>
      <c r="J371" s="23" t="s">
        <v>1427</v>
      </c>
      <c r="K371" s="23" t="s">
        <v>1428</v>
      </c>
      <c r="L371" s="23" t="n">
        <v>6600</v>
      </c>
      <c r="M371" s="23" t="n">
        <v>1945</v>
      </c>
      <c r="N371" s="23" t="n">
        <v>2</v>
      </c>
      <c r="O371" s="23" t="n">
        <v>25</v>
      </c>
      <c r="P371" s="23" t="n">
        <v>117.24</v>
      </c>
      <c r="Q371" s="24" t="n">
        <v>21427700000000</v>
      </c>
      <c r="R371" s="23" t="n">
        <v>78.5</v>
      </c>
      <c r="S371" s="23" t="n">
        <v>9.6</v>
      </c>
      <c r="T371" s="23" t="n">
        <v>36.6</v>
      </c>
      <c r="U371" s="23" t="n">
        <v>328239523</v>
      </c>
      <c r="V371" s="33" t="n">
        <f aca="false">YEARFRAC(W371,X371,1)</f>
        <v>80.9021035058431</v>
      </c>
      <c r="W371" s="34" t="n">
        <f aca="false">DATE(M371,N371,O371)</f>
        <v>16493</v>
      </c>
      <c r="X371" s="34" t="n">
        <f aca="true">TODAY()</f>
        <v>46042</v>
      </c>
    </row>
    <row r="372" customFormat="false" ht="15" hidden="false" customHeight="false" outlineLevel="0" collapsed="false">
      <c r="A372" s="23" t="n">
        <v>383</v>
      </c>
      <c r="B372" s="23" t="s">
        <v>49</v>
      </c>
      <c r="C372" s="23" t="s">
        <v>1429</v>
      </c>
      <c r="D372" s="23" t="s">
        <v>42</v>
      </c>
      <c r="E372" s="23" t="s">
        <v>1430</v>
      </c>
      <c r="F372" s="23" t="s">
        <v>396</v>
      </c>
      <c r="G372" s="23" t="s">
        <v>49</v>
      </c>
      <c r="H372" s="32" t="s">
        <v>45</v>
      </c>
      <c r="I372" s="23" t="s">
        <v>37</v>
      </c>
      <c r="J372" s="23" t="s">
        <v>1431</v>
      </c>
      <c r="K372" s="23" t="s">
        <v>1109</v>
      </c>
      <c r="L372" s="23" t="n">
        <v>6600</v>
      </c>
      <c r="M372" s="23" t="n">
        <v>1959</v>
      </c>
      <c r="N372" s="23" t="n">
        <v>10</v>
      </c>
      <c r="O372" s="23" t="n">
        <v>8</v>
      </c>
      <c r="P372" s="23" t="n">
        <v>117.24</v>
      </c>
      <c r="Q372" s="24" t="n">
        <v>21427700000000</v>
      </c>
      <c r="R372" s="23" t="n">
        <v>78.5</v>
      </c>
      <c r="S372" s="23" t="n">
        <v>9.6</v>
      </c>
      <c r="T372" s="23" t="n">
        <v>36.6</v>
      </c>
      <c r="U372" s="23" t="n">
        <v>328239523</v>
      </c>
      <c r="V372" s="33" t="n">
        <f aca="false">YEARFRAC(W372,X372,1)</f>
        <v>66.2861054072553</v>
      </c>
      <c r="W372" s="34" t="n">
        <f aca="false">DATE(M372,N372,O372)</f>
        <v>21831</v>
      </c>
      <c r="X372" s="34" t="n">
        <f aca="true">TODAY()</f>
        <v>46042</v>
      </c>
    </row>
    <row r="373" customFormat="false" ht="15" hidden="false" customHeight="false" outlineLevel="0" collapsed="false">
      <c r="A373" s="23" t="n">
        <v>383</v>
      </c>
      <c r="B373" s="23" t="s">
        <v>62</v>
      </c>
      <c r="C373" s="23" t="s">
        <v>1432</v>
      </c>
      <c r="D373" s="23" t="s">
        <v>178</v>
      </c>
      <c r="E373" s="23" t="s">
        <v>1433</v>
      </c>
      <c r="F373" s="23" t="s">
        <v>278</v>
      </c>
      <c r="G373" s="23" t="s">
        <v>62</v>
      </c>
      <c r="H373" s="32" t="s">
        <v>36</v>
      </c>
      <c r="I373" s="23" t="s">
        <v>103</v>
      </c>
      <c r="J373" s="23" t="s">
        <v>1434</v>
      </c>
      <c r="K373" s="23" t="s">
        <v>1435</v>
      </c>
      <c r="L373" s="23" t="n">
        <v>6600</v>
      </c>
      <c r="M373" s="23" t="n">
        <v>1976</v>
      </c>
      <c r="N373" s="23" t="n">
        <v>1</v>
      </c>
      <c r="O373" s="23" t="n">
        <v>7</v>
      </c>
      <c r="P373" s="23" t="n">
        <v>112.85</v>
      </c>
      <c r="Q373" s="24" t="n">
        <v>3845630030824</v>
      </c>
      <c r="R373" s="23" t="n">
        <v>80.9</v>
      </c>
      <c r="S373" s="23" t="n">
        <v>11.5</v>
      </c>
      <c r="T373" s="23" t="n">
        <v>48.8</v>
      </c>
      <c r="U373" s="23" t="n">
        <v>83132799</v>
      </c>
      <c r="V373" s="33" t="n">
        <f aca="false">YEARFRAC(W373,X373,1)</f>
        <v>50.0362894567318</v>
      </c>
      <c r="W373" s="34" t="n">
        <f aca="false">DATE(M373,N373,O373)</f>
        <v>27766</v>
      </c>
      <c r="X373" s="34" t="n">
        <f aca="true">TODAY()</f>
        <v>46042</v>
      </c>
    </row>
    <row r="374" customFormat="false" ht="15" hidden="false" customHeight="false" outlineLevel="0" collapsed="false">
      <c r="A374" s="23" t="n">
        <v>390</v>
      </c>
      <c r="B374" s="23" t="s">
        <v>62</v>
      </c>
      <c r="C374" s="23" t="s">
        <v>1436</v>
      </c>
      <c r="D374" s="23" t="s">
        <v>42</v>
      </c>
      <c r="E374" s="23" t="s">
        <v>151</v>
      </c>
      <c r="F374" s="23" t="s">
        <v>801</v>
      </c>
      <c r="G374" s="23" t="s">
        <v>62</v>
      </c>
      <c r="H374" s="32" t="s">
        <v>45</v>
      </c>
      <c r="I374" s="23" t="s">
        <v>37</v>
      </c>
      <c r="J374" s="23" t="s">
        <v>1437</v>
      </c>
      <c r="K374" s="23" t="s">
        <v>158</v>
      </c>
      <c r="L374" s="23" t="n">
        <v>6500</v>
      </c>
      <c r="M374" s="23" t="n">
        <v>1942</v>
      </c>
      <c r="N374" s="23" t="n">
        <v>11</v>
      </c>
      <c r="O374" s="23" t="n">
        <v>27</v>
      </c>
      <c r="P374" s="23" t="n">
        <v>117.24</v>
      </c>
      <c r="Q374" s="24" t="n">
        <v>21427700000000</v>
      </c>
      <c r="R374" s="23" t="n">
        <v>78.5</v>
      </c>
      <c r="S374" s="23" t="n">
        <v>9.6</v>
      </c>
      <c r="T374" s="23" t="n">
        <v>36.6</v>
      </c>
      <c r="U374" s="23" t="n">
        <v>328239523</v>
      </c>
      <c r="V374" s="33" t="n">
        <f aca="false">YEARFRAC(W374,X374,1)</f>
        <v>83.149197964311</v>
      </c>
      <c r="W374" s="34" t="n">
        <f aca="false">DATE(M374,N374,O374)</f>
        <v>15672</v>
      </c>
      <c r="X374" s="34" t="n">
        <f aca="true">TODAY()</f>
        <v>46042</v>
      </c>
    </row>
    <row r="375" customFormat="false" ht="15" hidden="false" customHeight="false" outlineLevel="0" collapsed="false">
      <c r="A375" s="23" t="n">
        <v>390</v>
      </c>
      <c r="B375" s="23" t="s">
        <v>49</v>
      </c>
      <c r="C375" s="23" t="s">
        <v>1438</v>
      </c>
      <c r="D375" s="23" t="s">
        <v>42</v>
      </c>
      <c r="E375" s="23" t="s">
        <v>51</v>
      </c>
      <c r="F375" s="23" t="s">
        <v>70</v>
      </c>
      <c r="G375" s="23" t="s">
        <v>49</v>
      </c>
      <c r="H375" s="32" t="s">
        <v>36</v>
      </c>
      <c r="I375" s="23" t="s">
        <v>103</v>
      </c>
      <c r="J375" s="23" t="s">
        <v>1439</v>
      </c>
      <c r="K375" s="23" t="s">
        <v>1440</v>
      </c>
      <c r="L375" s="23" t="n">
        <v>6500</v>
      </c>
      <c r="M375" s="23" t="n">
        <v>1964</v>
      </c>
      <c r="N375" s="23" t="n">
        <v>8</v>
      </c>
      <c r="O375" s="23" t="n">
        <v>15</v>
      </c>
      <c r="P375" s="23" t="n">
        <v>117.24</v>
      </c>
      <c r="Q375" s="24" t="n">
        <v>21427700000000</v>
      </c>
      <c r="R375" s="23" t="n">
        <v>78.5</v>
      </c>
      <c r="S375" s="23" t="n">
        <v>9.6</v>
      </c>
      <c r="T375" s="23" t="n">
        <v>36.6</v>
      </c>
      <c r="U375" s="23" t="n">
        <v>328239523</v>
      </c>
      <c r="V375" s="33" t="n">
        <f aca="false">YEARFRAC(W375,X375,1)</f>
        <v>61.4312285428708</v>
      </c>
      <c r="W375" s="34" t="n">
        <f aca="false">DATE(M375,N375,O375)</f>
        <v>23604</v>
      </c>
      <c r="X375" s="34" t="n">
        <f aca="true">TODAY()</f>
        <v>46042</v>
      </c>
    </row>
    <row r="376" customFormat="false" ht="15" hidden="false" customHeight="false" outlineLevel="0" collapsed="false">
      <c r="A376" s="23" t="n">
        <v>390</v>
      </c>
      <c r="B376" s="23" t="s">
        <v>471</v>
      </c>
      <c r="C376" s="23" t="s">
        <v>1441</v>
      </c>
      <c r="D376" s="23" t="s">
        <v>42</v>
      </c>
      <c r="E376" s="23" t="s">
        <v>1442</v>
      </c>
      <c r="F376" s="23" t="s">
        <v>474</v>
      </c>
      <c r="G376" s="23" t="s">
        <v>471</v>
      </c>
      <c r="H376" s="32" t="s">
        <v>36</v>
      </c>
      <c r="I376" s="23" t="s">
        <v>103</v>
      </c>
      <c r="J376" s="23" t="s">
        <v>1443</v>
      </c>
      <c r="K376" s="23" t="s">
        <v>1444</v>
      </c>
      <c r="L376" s="23" t="n">
        <v>6500</v>
      </c>
      <c r="M376" s="23" t="n">
        <v>1930</v>
      </c>
      <c r="N376" s="23" t="n">
        <v>2</v>
      </c>
      <c r="O376" s="23" t="n">
        <v>27</v>
      </c>
      <c r="P376" s="23" t="n">
        <v>117.24</v>
      </c>
      <c r="Q376" s="24" t="n">
        <v>21427700000000</v>
      </c>
      <c r="R376" s="23" t="n">
        <v>78.5</v>
      </c>
      <c r="S376" s="23" t="n">
        <v>9.6</v>
      </c>
      <c r="T376" s="23" t="n">
        <v>36.6</v>
      </c>
      <c r="U376" s="23" t="n">
        <v>328239523</v>
      </c>
      <c r="V376" s="33" t="n">
        <f aca="false">YEARFRAC(W376,X376,1)</f>
        <v>95.8966383471168</v>
      </c>
      <c r="W376" s="34" t="n">
        <f aca="false">DATE(M376,N376,O376)</f>
        <v>11016</v>
      </c>
      <c r="X376" s="34" t="n">
        <f aca="true">TODAY()</f>
        <v>46042</v>
      </c>
    </row>
    <row r="377" customFormat="false" ht="15" hidden="false" customHeight="false" outlineLevel="0" collapsed="false">
      <c r="A377" s="23" t="n">
        <v>390</v>
      </c>
      <c r="B377" s="23" t="s">
        <v>471</v>
      </c>
      <c r="C377" s="23" t="s">
        <v>1445</v>
      </c>
      <c r="D377" s="23" t="s">
        <v>241</v>
      </c>
      <c r="E377" s="23" t="s">
        <v>242</v>
      </c>
      <c r="F377" s="23" t="s">
        <v>1446</v>
      </c>
      <c r="G377" s="23" t="s">
        <v>471</v>
      </c>
      <c r="H377" s="32" t="s">
        <v>45</v>
      </c>
      <c r="I377" s="23" t="s">
        <v>37</v>
      </c>
      <c r="J377" s="23" t="s">
        <v>1447</v>
      </c>
      <c r="K377" s="23" t="s">
        <v>158</v>
      </c>
      <c r="L377" s="23" t="n">
        <v>6500</v>
      </c>
      <c r="M377" s="23" t="n">
        <v>1938</v>
      </c>
      <c r="N377" s="23" t="n">
        <v>9</v>
      </c>
      <c r="O377" s="23" t="n">
        <v>1</v>
      </c>
      <c r="P377" s="23" t="n">
        <v>119.62</v>
      </c>
      <c r="Q377" s="24" t="n">
        <v>2827113184696</v>
      </c>
      <c r="R377" s="23" t="n">
        <v>81.3</v>
      </c>
      <c r="S377" s="23" t="n">
        <v>25.5</v>
      </c>
      <c r="T377" s="23" t="n">
        <v>30.6</v>
      </c>
      <c r="U377" s="23" t="n">
        <v>66834405</v>
      </c>
      <c r="V377" s="33" t="n">
        <f aca="false">YEARFRAC(W377,X377,1)</f>
        <v>87.3873934844803</v>
      </c>
      <c r="W377" s="34" t="n">
        <f aca="false">DATE(M377,N377,O377)</f>
        <v>14124</v>
      </c>
      <c r="X377" s="34" t="n">
        <f aca="true">TODAY()</f>
        <v>46042</v>
      </c>
    </row>
    <row r="378" customFormat="false" ht="15" hidden="false" customHeight="false" outlineLevel="0" collapsed="false">
      <c r="A378" s="23" t="n">
        <v>390</v>
      </c>
      <c r="B378" s="23" t="s">
        <v>471</v>
      </c>
      <c r="C378" s="23" t="s">
        <v>1448</v>
      </c>
      <c r="D378" s="23" t="s">
        <v>189</v>
      </c>
      <c r="E378" s="23" t="s">
        <v>1449</v>
      </c>
      <c r="F378" s="23" t="s">
        <v>474</v>
      </c>
      <c r="G378" s="23" t="s">
        <v>471</v>
      </c>
      <c r="H378" s="32" t="s">
        <v>45</v>
      </c>
      <c r="I378" s="23" t="s">
        <v>37</v>
      </c>
      <c r="J378" s="23" t="s">
        <v>1450</v>
      </c>
      <c r="K378" s="23" t="s">
        <v>1451</v>
      </c>
      <c r="L378" s="23" t="n">
        <v>6500</v>
      </c>
      <c r="M378" s="23" t="n">
        <v>1971</v>
      </c>
      <c r="N378" s="23" t="n">
        <v>4</v>
      </c>
      <c r="O378" s="23" t="n">
        <v>22</v>
      </c>
      <c r="P378" s="23" t="n">
        <v>99.55</v>
      </c>
      <c r="Q378" s="24" t="n">
        <v>703082435360</v>
      </c>
      <c r="R378" s="23" t="n">
        <v>83.6</v>
      </c>
      <c r="S378" s="23" t="n">
        <v>10.1</v>
      </c>
      <c r="T378" s="23" t="n">
        <v>28.8</v>
      </c>
      <c r="U378" s="23" t="n">
        <v>8574832</v>
      </c>
      <c r="V378" s="33" t="n">
        <f aca="false">YEARFRAC(W378,X378,1)</f>
        <v>54.7488021902806</v>
      </c>
      <c r="W378" s="34" t="n">
        <f aca="false">DATE(M378,N378,O378)</f>
        <v>26045</v>
      </c>
      <c r="X378" s="34" t="n">
        <f aca="true">TODAY()</f>
        <v>46042</v>
      </c>
    </row>
    <row r="379" customFormat="false" ht="15" hidden="false" customHeight="false" outlineLevel="0" collapsed="false">
      <c r="A379" s="23" t="n">
        <v>397</v>
      </c>
      <c r="B379" s="23" t="s">
        <v>62</v>
      </c>
      <c r="C379" s="23" t="s">
        <v>1452</v>
      </c>
      <c r="D379" s="23" t="s">
        <v>505</v>
      </c>
      <c r="E379" s="23" t="s">
        <v>1453</v>
      </c>
      <c r="F379" s="23" t="s">
        <v>278</v>
      </c>
      <c r="G379" s="23" t="s">
        <v>62</v>
      </c>
      <c r="H379" s="32" t="s">
        <v>45</v>
      </c>
      <c r="I379" s="23" t="s">
        <v>37</v>
      </c>
      <c r="J379" s="23" t="s">
        <v>1454</v>
      </c>
      <c r="K379" s="23" t="s">
        <v>466</v>
      </c>
      <c r="L379" s="23" t="n">
        <v>6400</v>
      </c>
      <c r="M379" s="23" t="n">
        <v>1951</v>
      </c>
      <c r="N379" s="23" t="n">
        <v>8</v>
      </c>
      <c r="O379" s="23" t="n">
        <v>19</v>
      </c>
      <c r="P379" s="23" t="n">
        <v>110.51</v>
      </c>
      <c r="Q379" s="24" t="n">
        <v>530832908738</v>
      </c>
      <c r="R379" s="23" t="n">
        <v>82.5</v>
      </c>
      <c r="S379" s="23" t="n">
        <v>27.9</v>
      </c>
      <c r="T379" s="23" t="n">
        <v>49.1</v>
      </c>
      <c r="U379" s="23" t="n">
        <v>10285453</v>
      </c>
      <c r="V379" s="33" t="n">
        <f aca="false">YEARFRAC(W379,X379,1)</f>
        <v>74.4229979466119</v>
      </c>
      <c r="W379" s="34" t="n">
        <f aca="false">DATE(M379,N379,O379)</f>
        <v>18859</v>
      </c>
      <c r="X379" s="34" t="n">
        <f aca="true">TODAY()</f>
        <v>46042</v>
      </c>
    </row>
    <row r="380" customFormat="false" ht="15" hidden="false" customHeight="false" outlineLevel="0" collapsed="false">
      <c r="A380" s="23" t="n">
        <v>397</v>
      </c>
      <c r="B380" s="23" t="s">
        <v>594</v>
      </c>
      <c r="C380" s="23" t="s">
        <v>1455</v>
      </c>
      <c r="D380" s="23" t="s">
        <v>42</v>
      </c>
      <c r="E380" s="23" t="s">
        <v>1278</v>
      </c>
      <c r="F380" s="23" t="s">
        <v>1456</v>
      </c>
      <c r="G380" s="23" t="s">
        <v>594</v>
      </c>
      <c r="H380" s="32" t="s">
        <v>45</v>
      </c>
      <c r="I380" s="23" t="s">
        <v>37</v>
      </c>
      <c r="J380" s="23" t="s">
        <v>1457</v>
      </c>
      <c r="K380" s="23" t="s">
        <v>280</v>
      </c>
      <c r="L380" s="23" t="n">
        <v>6400</v>
      </c>
      <c r="M380" s="23" t="n">
        <v>1960</v>
      </c>
      <c r="N380" s="23" t="n">
        <v>4</v>
      </c>
      <c r="O380" s="23" t="n">
        <v>10</v>
      </c>
      <c r="P380" s="23" t="n">
        <v>117.24</v>
      </c>
      <c r="Q380" s="24" t="n">
        <v>21427700000000</v>
      </c>
      <c r="R380" s="23" t="n">
        <v>78.5</v>
      </c>
      <c r="S380" s="23" t="n">
        <v>9.6</v>
      </c>
      <c r="T380" s="23" t="n">
        <v>36.6</v>
      </c>
      <c r="U380" s="23" t="n">
        <v>328239523</v>
      </c>
      <c r="V380" s="33" t="n">
        <f aca="false">YEARFRAC(W380,X380,1)</f>
        <v>65.7789310232102</v>
      </c>
      <c r="W380" s="34" t="n">
        <f aca="false">DATE(M380,N380,O380)</f>
        <v>22016</v>
      </c>
      <c r="X380" s="34" t="n">
        <f aca="true">TODAY()</f>
        <v>46042</v>
      </c>
    </row>
    <row r="381" customFormat="false" ht="15" hidden="false" customHeight="false" outlineLevel="0" collapsed="false">
      <c r="A381" s="23" t="n">
        <v>397</v>
      </c>
      <c r="B381" s="23" t="s">
        <v>62</v>
      </c>
      <c r="C381" s="23" t="s">
        <v>1458</v>
      </c>
      <c r="D381" s="23" t="s">
        <v>42</v>
      </c>
      <c r="E381" s="23" t="s">
        <v>77</v>
      </c>
      <c r="F381" s="23" t="s">
        <v>221</v>
      </c>
      <c r="G381" s="23" t="s">
        <v>62</v>
      </c>
      <c r="H381" s="32" t="s">
        <v>45</v>
      </c>
      <c r="I381" s="23" t="s">
        <v>37</v>
      </c>
      <c r="J381" s="23" t="s">
        <v>1459</v>
      </c>
      <c r="K381" s="23" t="s">
        <v>621</v>
      </c>
      <c r="L381" s="23" t="n">
        <v>6400</v>
      </c>
      <c r="M381" s="23" t="n">
        <v>1953</v>
      </c>
      <c r="N381" s="23" t="n">
        <v>6</v>
      </c>
      <c r="O381" s="23" t="n">
        <v>14</v>
      </c>
      <c r="P381" s="23" t="n">
        <v>117.24</v>
      </c>
      <c r="Q381" s="24" t="n">
        <v>21427700000000</v>
      </c>
      <c r="R381" s="23" t="n">
        <v>78.5</v>
      </c>
      <c r="S381" s="23" t="n">
        <v>9.6</v>
      </c>
      <c r="T381" s="23" t="n">
        <v>36.6</v>
      </c>
      <c r="U381" s="23" t="n">
        <v>328239523</v>
      </c>
      <c r="V381" s="33" t="n">
        <f aca="false">YEARFRAC(W381,X381,1)</f>
        <v>72.6036702678704</v>
      </c>
      <c r="W381" s="34" t="n">
        <f aca="false">DATE(M381,N381,O381)</f>
        <v>19524</v>
      </c>
      <c r="X381" s="34" t="n">
        <f aca="true">TODAY()</f>
        <v>46042</v>
      </c>
    </row>
    <row r="382" customFormat="false" ht="15" hidden="false" customHeight="false" outlineLevel="0" collapsed="false">
      <c r="A382" s="23" t="n">
        <v>397</v>
      </c>
      <c r="B382" s="23" t="s">
        <v>360</v>
      </c>
      <c r="C382" s="23" t="s">
        <v>1460</v>
      </c>
      <c r="D382" s="23" t="s">
        <v>126</v>
      </c>
      <c r="E382" s="23" t="s">
        <v>173</v>
      </c>
      <c r="F382" s="23" t="s">
        <v>1461</v>
      </c>
      <c r="G382" s="23" t="s">
        <v>360</v>
      </c>
      <c r="H382" s="32" t="s">
        <v>45</v>
      </c>
      <c r="I382" s="23" t="s">
        <v>103</v>
      </c>
      <c r="J382" s="23" t="s">
        <v>1462</v>
      </c>
      <c r="K382" s="23" t="s">
        <v>806</v>
      </c>
      <c r="L382" s="23" t="n">
        <v>6400</v>
      </c>
      <c r="M382" s="23" t="n">
        <v>1963</v>
      </c>
      <c r="N382" s="23" t="n">
        <v>11</v>
      </c>
      <c r="O382" s="23" t="n">
        <v>1</v>
      </c>
      <c r="P382" s="23" t="n">
        <v>125.08</v>
      </c>
      <c r="Q382" s="24" t="n">
        <v>19910000000000</v>
      </c>
      <c r="R382" s="23" t="n">
        <v>77</v>
      </c>
      <c r="S382" s="23" t="n">
        <v>9.4</v>
      </c>
      <c r="T382" s="23" t="n">
        <v>59.2</v>
      </c>
      <c r="U382" s="23" t="n">
        <v>1397715000</v>
      </c>
      <c r="V382" s="33" t="n">
        <f aca="false">YEARFRAC(W382,X382,1)</f>
        <v>62.2203969883641</v>
      </c>
      <c r="W382" s="34" t="n">
        <f aca="false">DATE(M382,N382,O382)</f>
        <v>23316</v>
      </c>
      <c r="X382" s="34" t="n">
        <f aca="true">TODAY()</f>
        <v>46042</v>
      </c>
    </row>
    <row r="383" customFormat="false" ht="15" hidden="false" customHeight="false" outlineLevel="0" collapsed="false">
      <c r="A383" s="23" t="n">
        <v>397</v>
      </c>
      <c r="B383" s="23" t="s">
        <v>305</v>
      </c>
      <c r="C383" s="23" t="s">
        <v>1463</v>
      </c>
      <c r="D383" s="23" t="s">
        <v>33</v>
      </c>
      <c r="E383" s="23" t="s">
        <v>34</v>
      </c>
      <c r="F383" s="23" t="s">
        <v>623</v>
      </c>
      <c r="G383" s="23" t="s">
        <v>305</v>
      </c>
      <c r="H383" s="32" t="s">
        <v>45</v>
      </c>
      <c r="I383" s="23" t="s">
        <v>37</v>
      </c>
      <c r="J383" s="23" t="s">
        <v>1464</v>
      </c>
      <c r="K383" s="23" t="s">
        <v>1465</v>
      </c>
      <c r="L383" s="23" t="n">
        <v>6400</v>
      </c>
      <c r="M383" s="23" t="n">
        <v>1962</v>
      </c>
      <c r="N383" s="23" t="n">
        <v>10</v>
      </c>
      <c r="O383" s="23" t="n">
        <v>15</v>
      </c>
      <c r="P383" s="23" t="n">
        <v>110.05</v>
      </c>
      <c r="Q383" s="24" t="n">
        <v>2715518274227</v>
      </c>
      <c r="R383" s="23" t="n">
        <v>82.5</v>
      </c>
      <c r="S383" s="23" t="n">
        <v>24.2</v>
      </c>
      <c r="T383" s="23" t="n">
        <v>60.7</v>
      </c>
      <c r="U383" s="23" t="n">
        <v>67059887</v>
      </c>
      <c r="V383" s="33" t="n">
        <f aca="false">YEARFRAC(W383,X383,1)</f>
        <v>63.2669222020976</v>
      </c>
      <c r="W383" s="34" t="n">
        <f aca="false">DATE(M383,N383,O383)</f>
        <v>22934</v>
      </c>
      <c r="X383" s="34" t="n">
        <f aca="true">TODAY()</f>
        <v>46042</v>
      </c>
    </row>
    <row r="384" customFormat="false" ht="15" hidden="false" customHeight="false" outlineLevel="0" collapsed="false">
      <c r="A384" s="23" t="n">
        <v>397</v>
      </c>
      <c r="B384" s="23" t="s">
        <v>62</v>
      </c>
      <c r="C384" s="23" t="s">
        <v>1466</v>
      </c>
      <c r="D384" s="23" t="s">
        <v>1467</v>
      </c>
      <c r="E384" s="23" t="s">
        <v>1468</v>
      </c>
      <c r="F384" s="23" t="s">
        <v>487</v>
      </c>
      <c r="G384" s="23" t="s">
        <v>62</v>
      </c>
      <c r="H384" s="32" t="s">
        <v>45</v>
      </c>
      <c r="I384" s="23" t="s">
        <v>37</v>
      </c>
      <c r="J384" s="23" t="s">
        <v>1469</v>
      </c>
      <c r="K384" s="23" t="s">
        <v>1470</v>
      </c>
      <c r="L384" s="23" t="n">
        <v>6400</v>
      </c>
      <c r="M384" s="23" t="n">
        <v>1933</v>
      </c>
      <c r="N384" s="23" t="n">
        <v>1</v>
      </c>
      <c r="O384" s="23" t="n">
        <v>27</v>
      </c>
      <c r="P384" s="23" t="n">
        <v>140.95</v>
      </c>
      <c r="Q384" s="24" t="n">
        <v>323802808108</v>
      </c>
      <c r="R384" s="23" t="n">
        <v>77.1</v>
      </c>
      <c r="S384" s="23" t="n">
        <v>14.4</v>
      </c>
      <c r="T384" s="23" t="n">
        <v>71.2</v>
      </c>
      <c r="U384" s="23" t="n">
        <v>50339443</v>
      </c>
      <c r="V384" s="33" t="n">
        <f aca="false">YEARFRAC(W384,X384,1)</f>
        <v>92.9815046748027</v>
      </c>
      <c r="W384" s="34" t="n">
        <f aca="false">DATE(M384,N384,O384)</f>
        <v>12081</v>
      </c>
      <c r="X384" s="34" t="n">
        <f aca="true">TODAY()</f>
        <v>46042</v>
      </c>
    </row>
    <row r="385" customFormat="false" ht="15" hidden="false" customHeight="false" outlineLevel="0" collapsed="false">
      <c r="A385" s="23" t="n">
        <v>397</v>
      </c>
      <c r="B385" s="23" t="s">
        <v>187</v>
      </c>
      <c r="C385" s="23" t="s">
        <v>1471</v>
      </c>
      <c r="D385" s="23" t="s">
        <v>42</v>
      </c>
      <c r="E385" s="23" t="s">
        <v>1472</v>
      </c>
      <c r="F385" s="23" t="s">
        <v>1473</v>
      </c>
      <c r="G385" s="23" t="s">
        <v>187</v>
      </c>
      <c r="H385" s="32" t="s">
        <v>45</v>
      </c>
      <c r="I385" s="23" t="s">
        <v>37</v>
      </c>
      <c r="J385" s="23" t="s">
        <v>1474</v>
      </c>
      <c r="K385" s="23" t="s">
        <v>1475</v>
      </c>
      <c r="L385" s="23" t="n">
        <v>6400</v>
      </c>
      <c r="M385" s="23" t="n">
        <v>1934</v>
      </c>
      <c r="N385" s="23" t="n">
        <v>7</v>
      </c>
      <c r="O385" s="23" t="n">
        <v>27</v>
      </c>
      <c r="P385" s="23" t="n">
        <v>117.24</v>
      </c>
      <c r="Q385" s="24" t="n">
        <v>21427700000000</v>
      </c>
      <c r="R385" s="23" t="n">
        <v>78.5</v>
      </c>
      <c r="S385" s="23" t="n">
        <v>9.6</v>
      </c>
      <c r="T385" s="23" t="n">
        <v>36.6</v>
      </c>
      <c r="U385" s="23" t="n">
        <v>328239523</v>
      </c>
      <c r="V385" s="33" t="n">
        <f aca="false">YEARFRAC(W385,X385,1)</f>
        <v>91.4859573716439</v>
      </c>
      <c r="W385" s="34" t="n">
        <f aca="false">DATE(M385,N385,O385)</f>
        <v>12627</v>
      </c>
      <c r="X385" s="34" t="n">
        <f aca="true">TODAY()</f>
        <v>46042</v>
      </c>
    </row>
    <row r="386" customFormat="false" ht="15" hidden="false" customHeight="false" outlineLevel="0" collapsed="false">
      <c r="A386" s="23" t="n">
        <v>405</v>
      </c>
      <c r="B386" s="23" t="s">
        <v>584</v>
      </c>
      <c r="C386" s="23" t="s">
        <v>1476</v>
      </c>
      <c r="D386" s="23" t="s">
        <v>241</v>
      </c>
      <c r="E386" s="23" t="s">
        <v>859</v>
      </c>
      <c r="F386" s="23" t="s">
        <v>1239</v>
      </c>
      <c r="G386" s="23" t="s">
        <v>584</v>
      </c>
      <c r="H386" s="32" t="s">
        <v>36</v>
      </c>
      <c r="I386" s="23" t="s">
        <v>37</v>
      </c>
      <c r="J386" s="23" t="s">
        <v>1477</v>
      </c>
      <c r="K386" s="23" t="s">
        <v>678</v>
      </c>
      <c r="L386" s="23" t="n">
        <v>6300</v>
      </c>
      <c r="M386" s="23" t="n">
        <v>1945</v>
      </c>
      <c r="N386" s="23" t="n">
        <v>10</v>
      </c>
      <c r="O386" s="23" t="n">
        <v>23</v>
      </c>
      <c r="P386" s="23" t="n">
        <v>119.62</v>
      </c>
      <c r="Q386" s="24" t="n">
        <v>2827113184696</v>
      </c>
      <c r="R386" s="23" t="n">
        <v>81.3</v>
      </c>
      <c r="S386" s="23" t="n">
        <v>25.5</v>
      </c>
      <c r="T386" s="23" t="n">
        <v>30.6</v>
      </c>
      <c r="U386" s="23" t="n">
        <v>66834405</v>
      </c>
      <c r="V386" s="33" t="n">
        <f aca="false">YEARFRAC(W386,X386,1)</f>
        <v>80.2450083472454</v>
      </c>
      <c r="W386" s="34" t="n">
        <f aca="false">DATE(M386,N386,O386)</f>
        <v>16733</v>
      </c>
      <c r="X386" s="34" t="n">
        <f aca="true">TODAY()</f>
        <v>46042</v>
      </c>
    </row>
    <row r="387" customFormat="false" ht="15" hidden="false" customHeight="false" outlineLevel="0" collapsed="false">
      <c r="A387" s="23" t="n">
        <v>405</v>
      </c>
      <c r="B387" s="23" t="s">
        <v>305</v>
      </c>
      <c r="C387" s="23" t="s">
        <v>1478</v>
      </c>
      <c r="D387" s="23" t="s">
        <v>126</v>
      </c>
      <c r="E387" s="23" t="s">
        <v>901</v>
      </c>
      <c r="F387" s="23" t="s">
        <v>1479</v>
      </c>
      <c r="G387" s="23" t="s">
        <v>305</v>
      </c>
      <c r="H387" s="32" t="s">
        <v>45</v>
      </c>
      <c r="I387" s="23" t="s">
        <v>37</v>
      </c>
      <c r="J387" s="23" t="s">
        <v>1480</v>
      </c>
      <c r="K387" s="23" t="s">
        <v>1481</v>
      </c>
      <c r="L387" s="23" t="n">
        <v>6300</v>
      </c>
      <c r="M387" s="23" t="n">
        <v>1965</v>
      </c>
      <c r="N387" s="23" t="n">
        <v>1</v>
      </c>
      <c r="O387" s="23" t="n">
        <v>1</v>
      </c>
      <c r="P387" s="23" t="n">
        <v>125.08</v>
      </c>
      <c r="Q387" s="24" t="n">
        <v>19910000000000</v>
      </c>
      <c r="R387" s="23" t="n">
        <v>77</v>
      </c>
      <c r="S387" s="23" t="n">
        <v>9.4</v>
      </c>
      <c r="T387" s="23" t="n">
        <v>59.2</v>
      </c>
      <c r="U387" s="23" t="n">
        <v>1397715000</v>
      </c>
      <c r="V387" s="33" t="n">
        <f aca="false">YEARFRAC(W387,X387,1)</f>
        <v>61.0526827114153</v>
      </c>
      <c r="W387" s="34" t="n">
        <f aca="false">DATE(M387,N387,O387)</f>
        <v>23743</v>
      </c>
      <c r="X387" s="34" t="n">
        <f aca="true">TODAY()</f>
        <v>46042</v>
      </c>
    </row>
    <row r="388" customFormat="false" ht="15" hidden="false" customHeight="false" outlineLevel="0" collapsed="false">
      <c r="A388" s="23" t="n">
        <v>405</v>
      </c>
      <c r="B388" s="23" t="s">
        <v>62</v>
      </c>
      <c r="C388" s="23" t="s">
        <v>1482</v>
      </c>
      <c r="D388" s="23" t="s">
        <v>241</v>
      </c>
      <c r="E388" s="23" t="s">
        <v>242</v>
      </c>
      <c r="F388" s="23" t="s">
        <v>801</v>
      </c>
      <c r="G388" s="23" t="s">
        <v>62</v>
      </c>
      <c r="H388" s="32" t="s">
        <v>45</v>
      </c>
      <c r="I388" s="23" t="s">
        <v>37</v>
      </c>
      <c r="J388" s="23" t="s">
        <v>1483</v>
      </c>
      <c r="K388" s="23" t="s">
        <v>207</v>
      </c>
      <c r="L388" s="23" t="n">
        <v>6300</v>
      </c>
      <c r="M388" s="23" t="n">
        <v>1956</v>
      </c>
      <c r="N388" s="23" t="n">
        <v>6</v>
      </c>
      <c r="O388" s="23" t="n">
        <v>1</v>
      </c>
      <c r="P388" s="23" t="n">
        <v>119.62</v>
      </c>
      <c r="Q388" s="24" t="n">
        <v>2827113184696</v>
      </c>
      <c r="R388" s="23" t="n">
        <v>81.3</v>
      </c>
      <c r="S388" s="23" t="n">
        <v>25.5</v>
      </c>
      <c r="T388" s="23" t="n">
        <v>30.6</v>
      </c>
      <c r="U388" s="23" t="n">
        <v>66834405</v>
      </c>
      <c r="V388" s="33" t="n">
        <f aca="false">YEARFRAC(W388,X388,1)</f>
        <v>69.6365634519724</v>
      </c>
      <c r="W388" s="34" t="n">
        <f aca="false">DATE(M388,N388,O388)</f>
        <v>20607</v>
      </c>
      <c r="X388" s="34" t="n">
        <f aca="true">TODAY()</f>
        <v>46042</v>
      </c>
    </row>
    <row r="389" customFormat="false" ht="15" hidden="false" customHeight="false" outlineLevel="0" collapsed="false">
      <c r="A389" s="23" t="n">
        <v>405</v>
      </c>
      <c r="B389" s="23" t="s">
        <v>360</v>
      </c>
      <c r="C389" s="23" t="s">
        <v>1484</v>
      </c>
      <c r="D389" s="23" t="s">
        <v>33</v>
      </c>
      <c r="E389" s="23" t="s">
        <v>1485</v>
      </c>
      <c r="F389" s="23" t="s">
        <v>524</v>
      </c>
      <c r="G389" s="23" t="s">
        <v>360</v>
      </c>
      <c r="H389" s="32" t="s">
        <v>36</v>
      </c>
      <c r="I389" s="23" t="s">
        <v>37</v>
      </c>
      <c r="J389" s="23" t="s">
        <v>1486</v>
      </c>
      <c r="K389" s="23" t="s">
        <v>249</v>
      </c>
      <c r="L389" s="23" t="n">
        <v>6300</v>
      </c>
      <c r="M389" s="23" t="n">
        <v>1938</v>
      </c>
      <c r="N389" s="23" t="n">
        <v>1</v>
      </c>
      <c r="O389" s="23" t="n">
        <v>1</v>
      </c>
      <c r="P389" s="23" t="n">
        <v>110.05</v>
      </c>
      <c r="Q389" s="24" t="n">
        <v>2715518274227</v>
      </c>
      <c r="R389" s="23" t="n">
        <v>82.5</v>
      </c>
      <c r="S389" s="23" t="n">
        <v>24.2</v>
      </c>
      <c r="T389" s="23" t="n">
        <v>60.7</v>
      </c>
      <c r="U389" s="23" t="n">
        <v>67059887</v>
      </c>
      <c r="V389" s="33" t="n">
        <f aca="false">YEARFRAC(W389,X389,1)</f>
        <v>88.0526963423263</v>
      </c>
      <c r="W389" s="34" t="n">
        <f aca="false">DATE(M389,N389,O389)</f>
        <v>13881</v>
      </c>
      <c r="X389" s="34" t="n">
        <f aca="true">TODAY()</f>
        <v>46042</v>
      </c>
    </row>
    <row r="390" customFormat="false" ht="15" hidden="false" customHeight="false" outlineLevel="0" collapsed="false">
      <c r="A390" s="23" t="n">
        <v>405</v>
      </c>
      <c r="B390" s="23" t="s">
        <v>305</v>
      </c>
      <c r="C390" s="23" t="s">
        <v>1487</v>
      </c>
      <c r="D390" s="23" t="s">
        <v>126</v>
      </c>
      <c r="E390" s="23" t="s">
        <v>1488</v>
      </c>
      <c r="F390" s="23" t="s">
        <v>1489</v>
      </c>
      <c r="G390" s="23" t="s">
        <v>305</v>
      </c>
      <c r="H390" s="32" t="s">
        <v>45</v>
      </c>
      <c r="I390" s="23" t="s">
        <v>37</v>
      </c>
      <c r="J390" s="23" t="s">
        <v>393</v>
      </c>
      <c r="K390" s="23" t="s">
        <v>1490</v>
      </c>
      <c r="L390" s="23" t="n">
        <v>6300</v>
      </c>
      <c r="M390" s="23" t="n">
        <v>1964</v>
      </c>
      <c r="N390" s="23" t="n">
        <v>3</v>
      </c>
      <c r="O390" s="23" t="n">
        <v>11</v>
      </c>
      <c r="P390" s="23" t="n">
        <v>125.08</v>
      </c>
      <c r="Q390" s="24" t="n">
        <v>19910000000000</v>
      </c>
      <c r="R390" s="23" t="n">
        <v>77</v>
      </c>
      <c r="S390" s="23" t="n">
        <v>9.4</v>
      </c>
      <c r="T390" s="23" t="n">
        <v>59.2</v>
      </c>
      <c r="U390" s="23" t="n">
        <v>1397715000</v>
      </c>
      <c r="V390" s="33" t="n">
        <f aca="false">YEARFRAC(W390,X390,1)</f>
        <v>61.8610664464821</v>
      </c>
      <c r="W390" s="34" t="n">
        <f aca="false">DATE(M390,N390,O390)</f>
        <v>23447</v>
      </c>
      <c r="X390" s="34" t="n">
        <f aca="true">TODAY()</f>
        <v>46042</v>
      </c>
    </row>
    <row r="391" customFormat="false" ht="15" hidden="false" customHeight="false" outlineLevel="0" collapsed="false">
      <c r="A391" s="23" t="n">
        <v>405</v>
      </c>
      <c r="B391" s="23" t="s">
        <v>264</v>
      </c>
      <c r="C391" s="23" t="s">
        <v>1491</v>
      </c>
      <c r="D391" s="23" t="s">
        <v>669</v>
      </c>
      <c r="E391" s="23" t="s">
        <v>1492</v>
      </c>
      <c r="F391" s="23" t="s">
        <v>1493</v>
      </c>
      <c r="G391" s="23" t="s">
        <v>264</v>
      </c>
      <c r="H391" s="32" t="s">
        <v>45</v>
      </c>
      <c r="I391" s="23" t="s">
        <v>37</v>
      </c>
      <c r="J391" s="23" t="s">
        <v>248</v>
      </c>
      <c r="K391" s="23" t="s">
        <v>1494</v>
      </c>
      <c r="L391" s="23" t="n">
        <v>6300</v>
      </c>
      <c r="M391" s="23" t="n">
        <v>1926</v>
      </c>
      <c r="N391" s="23" t="n">
        <v>7</v>
      </c>
      <c r="O391" s="23" t="n">
        <v>16</v>
      </c>
      <c r="P391" s="23" t="n">
        <v>108.15</v>
      </c>
      <c r="Q391" s="24" t="n">
        <v>395098666122</v>
      </c>
      <c r="R391" s="23" t="n">
        <v>82.8</v>
      </c>
      <c r="S391" s="23" t="n">
        <v>23.1</v>
      </c>
      <c r="T391" s="23" t="n">
        <v>25.3</v>
      </c>
      <c r="U391" s="23" t="n">
        <v>9053300</v>
      </c>
      <c r="V391" s="33" t="n">
        <f aca="false">YEARFRAC(W391,X391,1)</f>
        <v>99.5160748170236</v>
      </c>
      <c r="W391" s="34" t="n">
        <f aca="false">DATE(M391,N391,O391)</f>
        <v>9694</v>
      </c>
      <c r="X391" s="34" t="n">
        <f aca="true">TODAY()</f>
        <v>46042</v>
      </c>
    </row>
    <row r="392" customFormat="false" ht="15" hidden="false" customHeight="false" outlineLevel="0" collapsed="false">
      <c r="A392" s="23" t="n">
        <v>411</v>
      </c>
      <c r="B392" s="23" t="s">
        <v>124</v>
      </c>
      <c r="C392" s="23" t="s">
        <v>1495</v>
      </c>
      <c r="D392" s="23" t="s">
        <v>84</v>
      </c>
      <c r="E392" s="23" t="s">
        <v>85</v>
      </c>
      <c r="F392" s="23" t="s">
        <v>1496</v>
      </c>
      <c r="G392" s="23" t="s">
        <v>124</v>
      </c>
      <c r="H392" s="32" t="s">
        <v>36</v>
      </c>
      <c r="I392" s="23" t="s">
        <v>103</v>
      </c>
      <c r="J392" s="23" t="s">
        <v>1497</v>
      </c>
      <c r="K392" s="23" t="s">
        <v>1498</v>
      </c>
      <c r="L392" s="23" t="n">
        <v>6200</v>
      </c>
      <c r="M392" s="23" t="n">
        <v>1963</v>
      </c>
      <c r="N392" s="23" t="n">
        <v>5</v>
      </c>
      <c r="O392" s="23" t="n">
        <v>2</v>
      </c>
      <c r="P392" s="23" t="n">
        <v>141.54</v>
      </c>
      <c r="Q392" s="24" t="n">
        <v>1258286717125</v>
      </c>
      <c r="R392" s="23" t="n">
        <v>75</v>
      </c>
      <c r="S392" s="23" t="n">
        <v>13.1</v>
      </c>
      <c r="T392" s="23" t="n">
        <v>55.1</v>
      </c>
      <c r="U392" s="23" t="n">
        <v>126014024</v>
      </c>
      <c r="V392" s="33" t="n">
        <f aca="false">YEARFRAC(W392,X392,1)</f>
        <v>62.7214236824093</v>
      </c>
      <c r="W392" s="34" t="n">
        <f aca="false">DATE(M392,N392,O392)</f>
        <v>23133</v>
      </c>
      <c r="X392" s="34" t="n">
        <f aca="true">TODAY()</f>
        <v>46042</v>
      </c>
    </row>
    <row r="393" customFormat="false" ht="15" hidden="false" customHeight="false" outlineLevel="0" collapsed="false">
      <c r="A393" s="23" t="n">
        <v>411</v>
      </c>
      <c r="B393" s="23" t="s">
        <v>89</v>
      </c>
      <c r="C393" s="23" t="s">
        <v>1499</v>
      </c>
      <c r="D393" s="23" t="s">
        <v>505</v>
      </c>
      <c r="E393" s="23" t="s">
        <v>506</v>
      </c>
      <c r="F393" s="23" t="s">
        <v>278</v>
      </c>
      <c r="G393" s="23" t="s">
        <v>89</v>
      </c>
      <c r="H393" s="32" t="s">
        <v>45</v>
      </c>
      <c r="I393" s="23" t="s">
        <v>37</v>
      </c>
      <c r="J393" s="23" t="s">
        <v>1500</v>
      </c>
      <c r="K393" s="23" t="s">
        <v>1501</v>
      </c>
      <c r="L393" s="23" t="n">
        <v>6200</v>
      </c>
      <c r="M393" s="23" t="n">
        <v>1938</v>
      </c>
      <c r="N393" s="23" t="n">
        <v>3</v>
      </c>
      <c r="O393" s="23" t="n">
        <v>3</v>
      </c>
      <c r="P393" s="23" t="n">
        <v>110.51</v>
      </c>
      <c r="Q393" s="24" t="n">
        <v>530832908738</v>
      </c>
      <c r="R393" s="23" t="n">
        <v>82.5</v>
      </c>
      <c r="S393" s="23" t="n">
        <v>27.9</v>
      </c>
      <c r="T393" s="23" t="n">
        <v>49.1</v>
      </c>
      <c r="U393" s="23" t="n">
        <v>10285453</v>
      </c>
      <c r="V393" s="33" t="n">
        <f aca="false">YEARFRAC(W393,X393,1)</f>
        <v>87.885686159904</v>
      </c>
      <c r="W393" s="34" t="n">
        <f aca="false">DATE(M393,N393,O393)</f>
        <v>13942</v>
      </c>
      <c r="X393" s="34" t="n">
        <f aca="true">TODAY()</f>
        <v>46042</v>
      </c>
    </row>
    <row r="394" customFormat="false" ht="15" hidden="false" customHeight="false" outlineLevel="0" collapsed="false">
      <c r="A394" s="23" t="n">
        <v>411</v>
      </c>
      <c r="B394" s="23" t="s">
        <v>390</v>
      </c>
      <c r="C394" s="23" t="s">
        <v>1502</v>
      </c>
      <c r="D394" s="23" t="s">
        <v>1503</v>
      </c>
      <c r="E394" s="23" t="s">
        <v>1504</v>
      </c>
      <c r="F394" s="23" t="s">
        <v>1505</v>
      </c>
      <c r="G394" s="23" t="s">
        <v>390</v>
      </c>
      <c r="H394" s="32" t="s">
        <v>45</v>
      </c>
      <c r="I394" s="23" t="s">
        <v>37</v>
      </c>
      <c r="J394" s="23" t="s">
        <v>1506</v>
      </c>
      <c r="K394" s="23" t="s">
        <v>1507</v>
      </c>
      <c r="L394" s="23" t="n">
        <v>6200</v>
      </c>
      <c r="M394" s="23" t="n">
        <v>1933</v>
      </c>
      <c r="N394" s="23" t="n">
        <v>8</v>
      </c>
      <c r="O394" s="23" t="n">
        <v>2</v>
      </c>
      <c r="P394" s="23" t="n">
        <v>115.91</v>
      </c>
      <c r="Q394" s="24" t="n">
        <v>909070395161</v>
      </c>
      <c r="R394" s="23" t="n">
        <v>81.8</v>
      </c>
      <c r="S394" s="23" t="n">
        <v>23</v>
      </c>
      <c r="T394" s="23" t="n">
        <v>41.2</v>
      </c>
      <c r="U394" s="23" t="n">
        <v>17332850</v>
      </c>
      <c r="V394" s="33" t="n">
        <f aca="false">YEARFRAC(W394,X394,1)</f>
        <v>92.4695191215449</v>
      </c>
      <c r="W394" s="34" t="n">
        <f aca="false">DATE(M394,N394,O394)</f>
        <v>12268</v>
      </c>
      <c r="X394" s="34" t="n">
        <f aca="true">TODAY()</f>
        <v>46042</v>
      </c>
    </row>
    <row r="395" customFormat="false" ht="15" hidden="false" customHeight="false" outlineLevel="0" collapsed="false">
      <c r="A395" s="23" t="n">
        <v>411</v>
      </c>
      <c r="B395" s="23" t="s">
        <v>124</v>
      </c>
      <c r="C395" s="23" t="s">
        <v>1508</v>
      </c>
      <c r="D395" s="23" t="s">
        <v>126</v>
      </c>
      <c r="E395" s="23" t="s">
        <v>209</v>
      </c>
      <c r="F395" s="23" t="s">
        <v>1223</v>
      </c>
      <c r="G395" s="23" t="s">
        <v>124</v>
      </c>
      <c r="H395" s="32" t="s">
        <v>45</v>
      </c>
      <c r="I395" s="23" t="s">
        <v>37</v>
      </c>
      <c r="J395" s="23" t="s">
        <v>1379</v>
      </c>
      <c r="K395" s="23" t="s">
        <v>1509</v>
      </c>
      <c r="L395" s="23" t="n">
        <v>6200</v>
      </c>
      <c r="M395" s="23" t="n">
        <v>1964</v>
      </c>
      <c r="N395" s="23" t="n">
        <v>1</v>
      </c>
      <c r="O395" s="23" t="n">
        <v>1</v>
      </c>
      <c r="P395" s="23" t="n">
        <v>125.08</v>
      </c>
      <c r="Q395" s="24" t="n">
        <v>19910000000000</v>
      </c>
      <c r="R395" s="23" t="n">
        <v>77</v>
      </c>
      <c r="S395" s="23" t="n">
        <v>9.4</v>
      </c>
      <c r="T395" s="23" t="n">
        <v>59.2</v>
      </c>
      <c r="U395" s="23" t="n">
        <v>1397715000</v>
      </c>
      <c r="V395" s="33" t="n">
        <f aca="false">YEARFRAC(W395,X395,1)</f>
        <v>62.0527139194298</v>
      </c>
      <c r="W395" s="34" t="n">
        <f aca="false">DATE(M395,N395,O395)</f>
        <v>23377</v>
      </c>
      <c r="X395" s="34" t="n">
        <f aca="true">TODAY()</f>
        <v>46042</v>
      </c>
    </row>
    <row r="396" customFormat="false" ht="15" hidden="false" customHeight="false" outlineLevel="0" collapsed="false">
      <c r="A396" s="23" t="n">
        <v>411</v>
      </c>
      <c r="B396" s="23" t="s">
        <v>264</v>
      </c>
      <c r="C396" s="23" t="s">
        <v>1510</v>
      </c>
      <c r="D396" s="23" t="s">
        <v>126</v>
      </c>
      <c r="E396" s="23" t="s">
        <v>825</v>
      </c>
      <c r="F396" s="23" t="s">
        <v>1511</v>
      </c>
      <c r="G396" s="23" t="s">
        <v>264</v>
      </c>
      <c r="H396" s="32" t="s">
        <v>45</v>
      </c>
      <c r="I396" s="23" t="s">
        <v>37</v>
      </c>
      <c r="J396" s="23" t="s">
        <v>1512</v>
      </c>
      <c r="K396" s="23" t="s">
        <v>903</v>
      </c>
      <c r="L396" s="23" t="n">
        <v>6200</v>
      </c>
      <c r="M396" s="23" t="n">
        <v>1964</v>
      </c>
      <c r="N396" s="23" t="n">
        <v>1</v>
      </c>
      <c r="O396" s="23" t="n">
        <v>1</v>
      </c>
      <c r="P396" s="23" t="n">
        <v>125.08</v>
      </c>
      <c r="Q396" s="24" t="n">
        <v>19910000000000</v>
      </c>
      <c r="R396" s="23" t="n">
        <v>77</v>
      </c>
      <c r="S396" s="23" t="n">
        <v>9.4</v>
      </c>
      <c r="T396" s="23" t="n">
        <v>59.2</v>
      </c>
      <c r="U396" s="23" t="n">
        <v>1397715000</v>
      </c>
      <c r="V396" s="33" t="n">
        <f aca="false">YEARFRAC(W396,X396,1)</f>
        <v>62.0527139194298</v>
      </c>
      <c r="W396" s="34" t="n">
        <f aca="false">DATE(M396,N396,O396)</f>
        <v>23377</v>
      </c>
      <c r="X396" s="34" t="n">
        <f aca="true">TODAY()</f>
        <v>46042</v>
      </c>
    </row>
    <row r="397" customFormat="false" ht="15" hidden="false" customHeight="false" outlineLevel="0" collapsed="false">
      <c r="A397" s="23" t="n">
        <v>411</v>
      </c>
      <c r="B397" s="23" t="s">
        <v>264</v>
      </c>
      <c r="C397" s="23" t="s">
        <v>1513</v>
      </c>
      <c r="D397" s="23" t="s">
        <v>126</v>
      </c>
      <c r="E397" s="23" t="s">
        <v>825</v>
      </c>
      <c r="F397" s="23" t="s">
        <v>1514</v>
      </c>
      <c r="G397" s="23" t="s">
        <v>264</v>
      </c>
      <c r="H397" s="32" t="s">
        <v>45</v>
      </c>
      <c r="I397" s="23" t="s">
        <v>37</v>
      </c>
      <c r="J397" s="23" t="s">
        <v>1512</v>
      </c>
      <c r="K397" s="23" t="s">
        <v>1515</v>
      </c>
      <c r="L397" s="23" t="n">
        <v>6200</v>
      </c>
      <c r="M397" s="23" t="n">
        <v>1972</v>
      </c>
      <c r="N397" s="23" t="n">
        <v>1</v>
      </c>
      <c r="O397" s="23" t="n">
        <v>1</v>
      </c>
      <c r="P397" s="23" t="n">
        <v>125.08</v>
      </c>
      <c r="Q397" s="24" t="n">
        <v>19910000000000</v>
      </c>
      <c r="R397" s="23" t="n">
        <v>77</v>
      </c>
      <c r="S397" s="23" t="n">
        <v>9.4</v>
      </c>
      <c r="T397" s="23" t="n">
        <v>59.2</v>
      </c>
      <c r="U397" s="23" t="n">
        <v>1397715000</v>
      </c>
      <c r="V397" s="33" t="n">
        <f aca="false">YEARFRAC(W397,X397,1)</f>
        <v>54.052715416397</v>
      </c>
      <c r="W397" s="34" t="n">
        <f aca="false">DATE(M397,N397,O397)</f>
        <v>26299</v>
      </c>
      <c r="X397" s="34" t="n">
        <f aca="true">TODAY()</f>
        <v>46042</v>
      </c>
    </row>
    <row r="398" customFormat="false" ht="15" hidden="false" customHeight="false" outlineLevel="0" collapsed="false">
      <c r="A398" s="23" t="n">
        <v>411</v>
      </c>
      <c r="B398" s="23" t="s">
        <v>62</v>
      </c>
      <c r="C398" s="23" t="s">
        <v>1516</v>
      </c>
      <c r="D398" s="23" t="s">
        <v>1517</v>
      </c>
      <c r="E398" s="23" t="s">
        <v>1518</v>
      </c>
      <c r="F398" s="23" t="s">
        <v>278</v>
      </c>
      <c r="G398" s="23" t="s">
        <v>62</v>
      </c>
      <c r="H398" s="32" t="s">
        <v>45</v>
      </c>
      <c r="I398" s="23" t="s">
        <v>37</v>
      </c>
      <c r="J398" s="23" t="s">
        <v>1519</v>
      </c>
      <c r="K398" s="23" t="s">
        <v>1520</v>
      </c>
      <c r="L398" s="23" t="n">
        <v>6200</v>
      </c>
      <c r="M398" s="23" t="n">
        <v>1962</v>
      </c>
      <c r="N398" s="23" t="n">
        <v>7</v>
      </c>
      <c r="O398" s="23" t="n">
        <v>11</v>
      </c>
      <c r="P398" s="23" t="n">
        <v>114.11</v>
      </c>
      <c r="Q398" s="24" t="n">
        <v>592164400688</v>
      </c>
      <c r="R398" s="23" t="n">
        <v>77.6</v>
      </c>
      <c r="S398" s="23" t="n">
        <v>17.4</v>
      </c>
      <c r="T398" s="23" t="n">
        <v>40.8</v>
      </c>
      <c r="U398" s="23" t="n">
        <v>37970874</v>
      </c>
      <c r="V398" s="33" t="n">
        <f aca="false">YEARFRAC(W398,X398,1)</f>
        <v>63.5297586453814</v>
      </c>
      <c r="W398" s="34" t="n">
        <f aca="false">DATE(M398,N398,O398)</f>
        <v>22838</v>
      </c>
      <c r="X398" s="34" t="n">
        <f aca="true">TODAY()</f>
        <v>46042</v>
      </c>
    </row>
    <row r="399" customFormat="false" ht="15" hidden="false" customHeight="false" outlineLevel="0" collapsed="false">
      <c r="A399" s="23" t="n">
        <v>418</v>
      </c>
      <c r="B399" s="23" t="s">
        <v>89</v>
      </c>
      <c r="C399" s="23" t="s">
        <v>1521</v>
      </c>
      <c r="D399" s="23" t="s">
        <v>570</v>
      </c>
      <c r="E399" s="23" t="s">
        <v>571</v>
      </c>
      <c r="F399" s="23" t="s">
        <v>1522</v>
      </c>
      <c r="G399" s="23" t="s">
        <v>89</v>
      </c>
      <c r="H399" s="32" t="s">
        <v>45</v>
      </c>
      <c r="I399" s="23" t="s">
        <v>37</v>
      </c>
      <c r="J399" s="23" t="s">
        <v>1523</v>
      </c>
      <c r="K399" s="23" t="s">
        <v>733</v>
      </c>
      <c r="L399" s="23" t="n">
        <v>6100</v>
      </c>
      <c r="M399" s="23" t="n">
        <v>1953</v>
      </c>
      <c r="N399" s="23" t="n">
        <v>4</v>
      </c>
      <c r="O399" s="23" t="n">
        <v>29</v>
      </c>
      <c r="P399" s="23" t="n">
        <v>267.51</v>
      </c>
      <c r="Q399" s="24" t="n">
        <v>448120428859</v>
      </c>
      <c r="R399" s="23" t="n">
        <v>54.3</v>
      </c>
      <c r="S399" s="23" t="n">
        <v>1.5</v>
      </c>
      <c r="T399" s="23" t="n">
        <v>34.8</v>
      </c>
      <c r="U399" s="23" t="n">
        <v>200963599</v>
      </c>
      <c r="V399" s="33" t="n">
        <f aca="false">YEARFRAC(W399,X399,1)</f>
        <v>72.7296137339056</v>
      </c>
      <c r="W399" s="34" t="n">
        <f aca="false">DATE(M399,N399,O399)</f>
        <v>19478</v>
      </c>
      <c r="X399" s="34" t="n">
        <f aca="true">TODAY()</f>
        <v>46042</v>
      </c>
    </row>
    <row r="400" customFormat="false" ht="15" hidden="false" customHeight="false" outlineLevel="0" collapsed="false">
      <c r="A400" s="23" t="n">
        <v>418</v>
      </c>
      <c r="B400" s="23" t="s">
        <v>62</v>
      </c>
      <c r="C400" s="23" t="s">
        <v>1524</v>
      </c>
      <c r="D400" s="23" t="s">
        <v>42</v>
      </c>
      <c r="E400" s="23" t="s">
        <v>884</v>
      </c>
      <c r="F400" s="23" t="s">
        <v>801</v>
      </c>
      <c r="G400" s="23" t="s">
        <v>62</v>
      </c>
      <c r="H400" s="32" t="s">
        <v>45</v>
      </c>
      <c r="I400" s="23" t="s">
        <v>37</v>
      </c>
      <c r="J400" s="23" t="s">
        <v>1525</v>
      </c>
      <c r="K400" s="23" t="s">
        <v>1526</v>
      </c>
      <c r="L400" s="23" t="n">
        <v>6100</v>
      </c>
      <c r="M400" s="23" t="n">
        <v>1964</v>
      </c>
      <c r="N400" s="23" t="n">
        <v>7</v>
      </c>
      <c r="O400" s="23" t="n">
        <v>31</v>
      </c>
      <c r="P400" s="23" t="n">
        <v>117.24</v>
      </c>
      <c r="Q400" s="24" t="n">
        <v>21427700000000</v>
      </c>
      <c r="R400" s="23" t="n">
        <v>78.5</v>
      </c>
      <c r="S400" s="23" t="n">
        <v>9.6</v>
      </c>
      <c r="T400" s="23" t="n">
        <v>36.6</v>
      </c>
      <c r="U400" s="23" t="n">
        <v>328239523</v>
      </c>
      <c r="V400" s="33" t="n">
        <f aca="false">YEARFRAC(W400,X400,1)</f>
        <v>61.4722958585025</v>
      </c>
      <c r="W400" s="34" t="n">
        <f aca="false">DATE(M400,N400,O400)</f>
        <v>23589</v>
      </c>
      <c r="X400" s="34" t="n">
        <f aca="true">TODAY()</f>
        <v>46042</v>
      </c>
    </row>
    <row r="401" customFormat="false" ht="15" hidden="false" customHeight="false" outlineLevel="0" collapsed="false">
      <c r="A401" s="23" t="n">
        <v>418</v>
      </c>
      <c r="B401" s="23" t="s">
        <v>31</v>
      </c>
      <c r="C401" s="23" t="s">
        <v>1527</v>
      </c>
      <c r="D401" s="23" t="s">
        <v>178</v>
      </c>
      <c r="E401" s="23" t="s">
        <v>894</v>
      </c>
      <c r="F401" s="23" t="s">
        <v>1528</v>
      </c>
      <c r="G401" s="23" t="s">
        <v>31</v>
      </c>
      <c r="H401" s="32" t="s">
        <v>36</v>
      </c>
      <c r="I401" s="23" t="s">
        <v>37</v>
      </c>
      <c r="J401" s="23" t="s">
        <v>1529</v>
      </c>
      <c r="K401" s="23" t="s">
        <v>80</v>
      </c>
      <c r="L401" s="23" t="n">
        <v>6100</v>
      </c>
      <c r="M401" s="23" t="n">
        <v>1943</v>
      </c>
      <c r="N401" s="23" t="n">
        <v>9</v>
      </c>
      <c r="O401" s="23" t="n">
        <v>28</v>
      </c>
      <c r="P401" s="23" t="n">
        <v>112.85</v>
      </c>
      <c r="Q401" s="24" t="n">
        <v>3845630030824</v>
      </c>
      <c r="R401" s="23" t="n">
        <v>80.9</v>
      </c>
      <c r="S401" s="23" t="n">
        <v>11.5</v>
      </c>
      <c r="T401" s="23" t="n">
        <v>48.8</v>
      </c>
      <c r="U401" s="23" t="n">
        <v>83132799</v>
      </c>
      <c r="V401" s="33" t="n">
        <f aca="false">YEARFRAC(W401,X401,1)</f>
        <v>82.3134839151266</v>
      </c>
      <c r="W401" s="34" t="n">
        <f aca="false">DATE(M401,N401,O401)</f>
        <v>15977</v>
      </c>
      <c r="X401" s="34" t="n">
        <f aca="true">TODAY()</f>
        <v>46042</v>
      </c>
    </row>
    <row r="402" customFormat="false" ht="15" hidden="false" customHeight="false" outlineLevel="0" collapsed="false">
      <c r="A402" s="23" t="n">
        <v>418</v>
      </c>
      <c r="B402" s="23" t="s">
        <v>31</v>
      </c>
      <c r="C402" s="23" t="s">
        <v>1530</v>
      </c>
      <c r="D402" s="23" t="s">
        <v>178</v>
      </c>
      <c r="E402" s="23" t="s">
        <v>894</v>
      </c>
      <c r="F402" s="23" t="s">
        <v>1528</v>
      </c>
      <c r="G402" s="23" t="s">
        <v>31</v>
      </c>
      <c r="H402" s="32" t="s">
        <v>36</v>
      </c>
      <c r="I402" s="23" t="s">
        <v>37</v>
      </c>
      <c r="J402" s="23" t="s">
        <v>1529</v>
      </c>
      <c r="K402" s="23" t="s">
        <v>1531</v>
      </c>
      <c r="L402" s="23" t="n">
        <v>6100</v>
      </c>
      <c r="M402" s="23" t="n">
        <v>1951</v>
      </c>
      <c r="N402" s="23" t="n">
        <v>1</v>
      </c>
      <c r="O402" s="23" t="n">
        <v>1</v>
      </c>
      <c r="P402" s="23" t="n">
        <v>112.85</v>
      </c>
      <c r="Q402" s="24" t="n">
        <v>3845630030824</v>
      </c>
      <c r="R402" s="23" t="n">
        <v>80.9</v>
      </c>
      <c r="S402" s="23" t="n">
        <v>11.5</v>
      </c>
      <c r="T402" s="23" t="n">
        <v>48.8</v>
      </c>
      <c r="U402" s="23" t="n">
        <v>83132799</v>
      </c>
      <c r="V402" s="33" t="n">
        <f aca="false">YEARFRAC(W402,X402,1)</f>
        <v>75.0527036276523</v>
      </c>
      <c r="W402" s="34" t="n">
        <f aca="false">DATE(M402,N402,O402)</f>
        <v>18629</v>
      </c>
      <c r="X402" s="34" t="n">
        <f aca="true">TODAY()</f>
        <v>46042</v>
      </c>
    </row>
    <row r="403" customFormat="false" ht="15" hidden="false" customHeight="false" outlineLevel="0" collapsed="false">
      <c r="A403" s="23" t="n">
        <v>425</v>
      </c>
      <c r="B403" s="23" t="s">
        <v>286</v>
      </c>
      <c r="C403" s="23" t="s">
        <v>1532</v>
      </c>
      <c r="D403" s="23" t="s">
        <v>338</v>
      </c>
      <c r="E403" s="23" t="s">
        <v>339</v>
      </c>
      <c r="F403" s="23" t="s">
        <v>1533</v>
      </c>
      <c r="G403" s="23" t="s">
        <v>286</v>
      </c>
      <c r="H403" s="32" t="s">
        <v>45</v>
      </c>
      <c r="I403" s="23" t="s">
        <v>37</v>
      </c>
      <c r="J403" s="23" t="s">
        <v>1534</v>
      </c>
      <c r="K403" s="23" t="s">
        <v>896</v>
      </c>
      <c r="L403" s="23" t="n">
        <v>6000</v>
      </c>
      <c r="M403" s="23" t="n">
        <v>1959</v>
      </c>
      <c r="N403" s="23" t="n">
        <v>2</v>
      </c>
      <c r="O403" s="23" t="n">
        <v>20</v>
      </c>
      <c r="P403" s="23" t="n">
        <v>180.75</v>
      </c>
      <c r="Q403" s="24" t="n">
        <v>1699876578871</v>
      </c>
      <c r="R403" s="23" t="n">
        <v>72.7</v>
      </c>
      <c r="S403" s="23" t="n">
        <v>11.4</v>
      </c>
      <c r="T403" s="23" t="n">
        <v>46.2</v>
      </c>
      <c r="U403" s="23" t="n">
        <v>144373535</v>
      </c>
      <c r="V403" s="33" t="n">
        <f aca="false">YEARFRAC(W403,X403,1)</f>
        <v>66.9158110882957</v>
      </c>
      <c r="W403" s="34" t="n">
        <f aca="false">DATE(M403,N403,O403)</f>
        <v>21601</v>
      </c>
      <c r="X403" s="34" t="n">
        <f aca="true">TODAY()</f>
        <v>46042</v>
      </c>
    </row>
    <row r="404" customFormat="false" ht="15" hidden="false" customHeight="false" outlineLevel="0" collapsed="false">
      <c r="A404" s="23" t="n">
        <v>425</v>
      </c>
      <c r="B404" s="23" t="s">
        <v>471</v>
      </c>
      <c r="C404" s="23" t="s">
        <v>1535</v>
      </c>
      <c r="D404" s="23" t="s">
        <v>42</v>
      </c>
      <c r="E404" s="23" t="s">
        <v>388</v>
      </c>
      <c r="F404" s="23" t="s">
        <v>474</v>
      </c>
      <c r="G404" s="23" t="s">
        <v>471</v>
      </c>
      <c r="H404" s="32" t="s">
        <v>45</v>
      </c>
      <c r="I404" s="23" t="s">
        <v>37</v>
      </c>
      <c r="J404" s="23" t="s">
        <v>1536</v>
      </c>
      <c r="K404" s="23" t="s">
        <v>1537</v>
      </c>
      <c r="L404" s="23" t="n">
        <v>6000</v>
      </c>
      <c r="M404" s="23" t="n">
        <v>1938</v>
      </c>
      <c r="N404" s="23" t="n">
        <v>1</v>
      </c>
      <c r="O404" s="23" t="n">
        <v>12</v>
      </c>
      <c r="P404" s="23" t="n">
        <v>117.24</v>
      </c>
      <c r="Q404" s="24" t="n">
        <v>21427700000000</v>
      </c>
      <c r="R404" s="23" t="n">
        <v>78.5</v>
      </c>
      <c r="S404" s="23" t="n">
        <v>9.6</v>
      </c>
      <c r="T404" s="23" t="n">
        <v>36.6</v>
      </c>
      <c r="U404" s="23" t="n">
        <v>328239523</v>
      </c>
      <c r="V404" s="33" t="n">
        <f aca="false">YEARFRAC(W404,X404,1)</f>
        <v>88.0225797520534</v>
      </c>
      <c r="W404" s="34" t="n">
        <f aca="false">DATE(M404,N404,O404)</f>
        <v>13892</v>
      </c>
      <c r="X404" s="34" t="n">
        <f aca="true">TODAY()</f>
        <v>46042</v>
      </c>
    </row>
    <row r="405" customFormat="false" ht="15" hidden="false" customHeight="false" outlineLevel="0" collapsed="false">
      <c r="A405" s="23" t="n">
        <v>425</v>
      </c>
      <c r="B405" s="23" t="s">
        <v>31</v>
      </c>
      <c r="C405" s="23" t="s">
        <v>1538</v>
      </c>
      <c r="D405" s="23" t="s">
        <v>154</v>
      </c>
      <c r="E405" s="23" t="s">
        <v>1539</v>
      </c>
      <c r="F405" s="23" t="s">
        <v>1540</v>
      </c>
      <c r="G405" s="23" t="s">
        <v>31</v>
      </c>
      <c r="H405" s="32" t="s">
        <v>45</v>
      </c>
      <c r="I405" s="23" t="s">
        <v>37</v>
      </c>
      <c r="J405" s="23" t="s">
        <v>1541</v>
      </c>
      <c r="K405" s="23" t="s">
        <v>249</v>
      </c>
      <c r="L405" s="23" t="n">
        <v>6000</v>
      </c>
      <c r="M405" s="23" t="n">
        <v>1949</v>
      </c>
      <c r="N405" s="23" t="n">
        <v>2</v>
      </c>
      <c r="O405" s="23" t="n">
        <v>18</v>
      </c>
      <c r="P405" s="23" t="n">
        <v>116.76</v>
      </c>
      <c r="Q405" s="24" t="n">
        <v>1736425629520</v>
      </c>
      <c r="R405" s="23" t="n">
        <v>81.9</v>
      </c>
      <c r="S405" s="23" t="n">
        <v>12.8</v>
      </c>
      <c r="T405" s="23" t="n">
        <v>24.5</v>
      </c>
      <c r="U405" s="23" t="n">
        <v>36991981</v>
      </c>
      <c r="V405" s="33" t="n">
        <f aca="false">YEARFRAC(W405,X405,1)</f>
        <v>76.9212678577697</v>
      </c>
      <c r="W405" s="34" t="n">
        <f aca="false">DATE(M405,N405,O405)</f>
        <v>17947</v>
      </c>
      <c r="X405" s="34" t="n">
        <f aca="true">TODAY()</f>
        <v>46042</v>
      </c>
    </row>
    <row r="406" customFormat="false" ht="15" hidden="false" customHeight="false" outlineLevel="0" collapsed="false">
      <c r="A406" s="23" t="n">
        <v>425</v>
      </c>
      <c r="B406" s="23" t="s">
        <v>49</v>
      </c>
      <c r="C406" s="23" t="s">
        <v>1542</v>
      </c>
      <c r="D406" s="23" t="s">
        <v>42</v>
      </c>
      <c r="E406" s="23" t="s">
        <v>1543</v>
      </c>
      <c r="F406" s="23" t="s">
        <v>1544</v>
      </c>
      <c r="G406" s="23" t="s">
        <v>49</v>
      </c>
      <c r="H406" s="32" t="s">
        <v>45</v>
      </c>
      <c r="I406" s="23" t="s">
        <v>37</v>
      </c>
      <c r="J406" s="23" t="s">
        <v>1545</v>
      </c>
      <c r="K406" s="23" t="s">
        <v>1546</v>
      </c>
      <c r="L406" s="23" t="n">
        <v>6000</v>
      </c>
      <c r="M406" s="23" t="n">
        <v>1959</v>
      </c>
      <c r="N406" s="23" t="n">
        <v>8</v>
      </c>
      <c r="O406" s="23" t="n">
        <v>26</v>
      </c>
      <c r="P406" s="23" t="n">
        <v>117.24</v>
      </c>
      <c r="Q406" s="24" t="n">
        <v>21427700000000</v>
      </c>
      <c r="R406" s="23" t="n">
        <v>78.5</v>
      </c>
      <c r="S406" s="23" t="n">
        <v>9.6</v>
      </c>
      <c r="T406" s="23" t="n">
        <v>36.6</v>
      </c>
      <c r="U406" s="23" t="n">
        <v>328239523</v>
      </c>
      <c r="V406" s="33" t="n">
        <f aca="false">YEARFRAC(W406,X406,1)</f>
        <v>66.403832991102</v>
      </c>
      <c r="W406" s="34" t="n">
        <f aca="false">DATE(M406,N406,O406)</f>
        <v>21788</v>
      </c>
      <c r="X406" s="34" t="n">
        <f aca="true">TODAY()</f>
        <v>46042</v>
      </c>
    </row>
    <row r="407" customFormat="false" ht="15" hidden="false" customHeight="false" outlineLevel="0" collapsed="false">
      <c r="A407" s="23" t="n">
        <v>425</v>
      </c>
      <c r="B407" s="23" t="s">
        <v>31</v>
      </c>
      <c r="C407" s="23" t="s">
        <v>1547</v>
      </c>
      <c r="D407" s="23" t="s">
        <v>91</v>
      </c>
      <c r="E407" s="23" t="s">
        <v>92</v>
      </c>
      <c r="F407" s="23" t="s">
        <v>533</v>
      </c>
      <c r="G407" s="23" t="s">
        <v>31</v>
      </c>
      <c r="H407" s="32" t="s">
        <v>45</v>
      </c>
      <c r="I407" s="23" t="s">
        <v>37</v>
      </c>
      <c r="J407" s="23" t="s">
        <v>534</v>
      </c>
      <c r="K407" s="23" t="s">
        <v>1548</v>
      </c>
      <c r="L407" s="23" t="n">
        <v>6000</v>
      </c>
      <c r="M407" s="23" t="n">
        <v>1958</v>
      </c>
      <c r="N407" s="23" t="n">
        <v>1</v>
      </c>
      <c r="O407" s="23" t="n">
        <v>1</v>
      </c>
      <c r="P407" s="23" t="n">
        <v>180.44</v>
      </c>
      <c r="Q407" s="24" t="n">
        <v>2611000000000</v>
      </c>
      <c r="R407" s="23" t="n">
        <v>69.4</v>
      </c>
      <c r="S407" s="23" t="n">
        <v>11.2</v>
      </c>
      <c r="T407" s="23" t="n">
        <v>49.7</v>
      </c>
      <c r="U407" s="23" t="n">
        <v>1366417754</v>
      </c>
      <c r="V407" s="33" t="n">
        <f aca="false">YEARFRAC(W407,X407,1)</f>
        <v>68.0526942306166</v>
      </c>
      <c r="W407" s="34" t="n">
        <f aca="false">DATE(M407,N407,O407)</f>
        <v>21186</v>
      </c>
      <c r="X407" s="34" t="n">
        <f aca="true">TODAY()</f>
        <v>46042</v>
      </c>
    </row>
    <row r="408" customFormat="false" ht="15" hidden="false" customHeight="false" outlineLevel="0" collapsed="false">
      <c r="A408" s="23" t="n">
        <v>425</v>
      </c>
      <c r="B408" s="23" t="s">
        <v>89</v>
      </c>
      <c r="C408" s="23" t="s">
        <v>1549</v>
      </c>
      <c r="D408" s="23" t="s">
        <v>539</v>
      </c>
      <c r="E408" s="23" t="s">
        <v>540</v>
      </c>
      <c r="F408" s="23" t="s">
        <v>89</v>
      </c>
      <c r="G408" s="23" t="s">
        <v>89</v>
      </c>
      <c r="H408" s="32" t="s">
        <v>36</v>
      </c>
      <c r="I408" s="23" t="s">
        <v>37</v>
      </c>
      <c r="J408" s="23" t="s">
        <v>1550</v>
      </c>
      <c r="K408" s="23" t="s">
        <v>1551</v>
      </c>
      <c r="L408" s="23" t="n">
        <v>6000</v>
      </c>
      <c r="M408" s="23" t="n">
        <v>1934</v>
      </c>
      <c r="N408" s="23" t="n">
        <v>11</v>
      </c>
      <c r="O408" s="23" t="n">
        <v>2</v>
      </c>
      <c r="P408" s="23" t="n">
        <v>113.27</v>
      </c>
      <c r="Q408" s="24" t="n">
        <v>543649976166</v>
      </c>
      <c r="R408" s="23" t="n">
        <v>76.9</v>
      </c>
      <c r="S408" s="23" t="n">
        <v>14.9</v>
      </c>
      <c r="T408" s="23" t="n">
        <v>29.5</v>
      </c>
      <c r="U408" s="23" t="n">
        <v>69625582</v>
      </c>
      <c r="V408" s="33" t="n">
        <f aca="false">YEARFRAC(W408,X408,1)</f>
        <v>91.2176460197833</v>
      </c>
      <c r="W408" s="34" t="n">
        <f aca="false">DATE(M408,N408,O408)</f>
        <v>12725</v>
      </c>
      <c r="X408" s="34" t="n">
        <f aca="true">TODAY()</f>
        <v>46042</v>
      </c>
    </row>
    <row r="409" customFormat="false" ht="15" hidden="false" customHeight="false" outlineLevel="0" collapsed="false">
      <c r="A409" s="23" t="n">
        <v>425</v>
      </c>
      <c r="B409" s="23" t="s">
        <v>62</v>
      </c>
      <c r="C409" s="23" t="s">
        <v>1552</v>
      </c>
      <c r="D409" s="23" t="s">
        <v>669</v>
      </c>
      <c r="E409" s="23" t="s">
        <v>1492</v>
      </c>
      <c r="F409" s="23" t="s">
        <v>278</v>
      </c>
      <c r="G409" s="23" t="s">
        <v>62</v>
      </c>
      <c r="H409" s="32" t="s">
        <v>45</v>
      </c>
      <c r="I409" s="23" t="s">
        <v>37</v>
      </c>
      <c r="J409" s="23" t="s">
        <v>1553</v>
      </c>
      <c r="K409" s="23" t="s">
        <v>1554</v>
      </c>
      <c r="L409" s="23" t="n">
        <v>6000</v>
      </c>
      <c r="M409" s="23" t="n">
        <v>1930</v>
      </c>
      <c r="N409" s="23" t="n">
        <v>10</v>
      </c>
      <c r="O409" s="23" t="n">
        <v>22</v>
      </c>
      <c r="P409" s="23" t="n">
        <v>108.15</v>
      </c>
      <c r="Q409" s="24" t="n">
        <v>395098666122</v>
      </c>
      <c r="R409" s="23" t="n">
        <v>82.8</v>
      </c>
      <c r="S409" s="23" t="n">
        <v>23.1</v>
      </c>
      <c r="T409" s="23" t="n">
        <v>25.3</v>
      </c>
      <c r="U409" s="23" t="n">
        <v>9053300</v>
      </c>
      <c r="V409" s="33" t="n">
        <f aca="false">YEARFRAC(W409,X409,1)</f>
        <v>95.2477631318976</v>
      </c>
      <c r="W409" s="34" t="n">
        <f aca="false">DATE(M409,N409,O409)</f>
        <v>11253</v>
      </c>
      <c r="X409" s="34" t="n">
        <f aca="true">TODAY()</f>
        <v>46042</v>
      </c>
    </row>
    <row r="410" customFormat="false" ht="15" hidden="false" customHeight="false" outlineLevel="0" collapsed="false">
      <c r="A410" s="23" t="n">
        <v>425</v>
      </c>
      <c r="B410" s="23" t="s">
        <v>62</v>
      </c>
      <c r="C410" s="23" t="s">
        <v>1555</v>
      </c>
      <c r="D410" s="23" t="s">
        <v>42</v>
      </c>
      <c r="E410" s="23" t="s">
        <v>829</v>
      </c>
      <c r="F410" s="23" t="s">
        <v>278</v>
      </c>
      <c r="G410" s="23" t="s">
        <v>62</v>
      </c>
      <c r="H410" s="32" t="s">
        <v>45</v>
      </c>
      <c r="I410" s="23" t="s">
        <v>37</v>
      </c>
      <c r="J410" s="23" t="s">
        <v>1556</v>
      </c>
      <c r="K410" s="23" t="s">
        <v>80</v>
      </c>
      <c r="L410" s="23" t="n">
        <v>6000</v>
      </c>
      <c r="M410" s="23" t="n">
        <v>1946</v>
      </c>
      <c r="N410" s="23" t="n">
        <v>7</v>
      </c>
      <c r="O410" s="23" t="n">
        <v>4</v>
      </c>
      <c r="P410" s="23" t="n">
        <v>117.24</v>
      </c>
      <c r="Q410" s="24" t="n">
        <v>21427700000000</v>
      </c>
      <c r="R410" s="23" t="n">
        <v>78.5</v>
      </c>
      <c r="S410" s="23" t="n">
        <v>9.6</v>
      </c>
      <c r="T410" s="23" t="n">
        <v>36.6</v>
      </c>
      <c r="U410" s="23" t="n">
        <v>328239523</v>
      </c>
      <c r="V410" s="33" t="n">
        <f aca="false">YEARFRAC(W410,X410,1)</f>
        <v>79.5489268210242</v>
      </c>
      <c r="W410" s="34" t="n">
        <f aca="false">DATE(M410,N410,O410)</f>
        <v>16987</v>
      </c>
      <c r="X410" s="34" t="n">
        <f aca="true">TODAY()</f>
        <v>46042</v>
      </c>
    </row>
    <row r="411" customFormat="false" ht="15" hidden="false" customHeight="false" outlineLevel="0" collapsed="false">
      <c r="A411" s="23" t="n">
        <v>425</v>
      </c>
      <c r="B411" s="23" t="s">
        <v>49</v>
      </c>
      <c r="C411" s="23" t="s">
        <v>1557</v>
      </c>
      <c r="D411" s="23" t="s">
        <v>42</v>
      </c>
      <c r="E411" s="23" t="s">
        <v>1292</v>
      </c>
      <c r="F411" s="23" t="s">
        <v>1558</v>
      </c>
      <c r="G411" s="23" t="s">
        <v>49</v>
      </c>
      <c r="H411" s="32" t="s">
        <v>45</v>
      </c>
      <c r="I411" s="23" t="s">
        <v>37</v>
      </c>
      <c r="J411" s="23" t="s">
        <v>1559</v>
      </c>
      <c r="K411" s="23" t="s">
        <v>158</v>
      </c>
      <c r="L411" s="23" t="n">
        <v>6000</v>
      </c>
      <c r="M411" s="23" t="n">
        <v>1951</v>
      </c>
      <c r="N411" s="23" t="n">
        <v>7</v>
      </c>
      <c r="O411" s="23" t="n">
        <v>2</v>
      </c>
      <c r="P411" s="23" t="n">
        <v>117.24</v>
      </c>
      <c r="Q411" s="24" t="n">
        <v>21427700000000</v>
      </c>
      <c r="R411" s="23" t="n">
        <v>78.5</v>
      </c>
      <c r="S411" s="23" t="n">
        <v>9.6</v>
      </c>
      <c r="T411" s="23" t="n">
        <v>36.6</v>
      </c>
      <c r="U411" s="23" t="n">
        <v>328239523</v>
      </c>
      <c r="V411" s="33" t="n">
        <f aca="false">YEARFRAC(W411,X411,1)</f>
        <v>74.5544147843943</v>
      </c>
      <c r="W411" s="34" t="n">
        <f aca="false">DATE(M411,N411,O411)</f>
        <v>18811</v>
      </c>
      <c r="X411" s="34" t="n">
        <f aca="true">TODAY()</f>
        <v>46042</v>
      </c>
    </row>
    <row r="412" customFormat="false" ht="15" hidden="false" customHeight="false" outlineLevel="0" collapsed="false">
      <c r="A412" s="23" t="n">
        <v>425</v>
      </c>
      <c r="B412" s="23" t="s">
        <v>31</v>
      </c>
      <c r="C412" s="23" t="s">
        <v>1560</v>
      </c>
      <c r="D412" s="23" t="s">
        <v>42</v>
      </c>
      <c r="E412" s="23" t="s">
        <v>1561</v>
      </c>
      <c r="F412" s="23" t="s">
        <v>180</v>
      </c>
      <c r="G412" s="23" t="s">
        <v>31</v>
      </c>
      <c r="H412" s="32" t="s">
        <v>45</v>
      </c>
      <c r="I412" s="23" t="s">
        <v>37</v>
      </c>
      <c r="J412" s="23" t="s">
        <v>1562</v>
      </c>
      <c r="K412" s="23" t="s">
        <v>1563</v>
      </c>
      <c r="L412" s="23" t="n">
        <v>6000</v>
      </c>
      <c r="M412" s="23" t="n">
        <v>1937</v>
      </c>
      <c r="N412" s="23" t="n">
        <v>9</v>
      </c>
      <c r="O412" s="23" t="n">
        <v>8</v>
      </c>
      <c r="P412" s="23" t="n">
        <v>117.24</v>
      </c>
      <c r="Q412" s="24" t="n">
        <v>21427700000000</v>
      </c>
      <c r="R412" s="23" t="n">
        <v>78.5</v>
      </c>
      <c r="S412" s="23" t="n">
        <v>9.6</v>
      </c>
      <c r="T412" s="23" t="n">
        <v>36.6</v>
      </c>
      <c r="U412" s="23" t="n">
        <v>328239523</v>
      </c>
      <c r="V412" s="33" t="n">
        <f aca="false">YEARFRAC(W412,X412,1)</f>
        <v>88.3682161109759</v>
      </c>
      <c r="W412" s="34" t="n">
        <f aca="false">DATE(M412,N412,O412)</f>
        <v>13766</v>
      </c>
      <c r="X412" s="34" t="n">
        <f aca="true">TODAY()</f>
        <v>46042</v>
      </c>
    </row>
    <row r="413" customFormat="false" ht="15" hidden="false" customHeight="false" outlineLevel="0" collapsed="false">
      <c r="A413" s="23" t="n">
        <v>437</v>
      </c>
      <c r="B413" s="23" t="s">
        <v>471</v>
      </c>
      <c r="C413" s="23" t="s">
        <v>1564</v>
      </c>
      <c r="D413" s="23" t="s">
        <v>126</v>
      </c>
      <c r="E413" s="23" t="s">
        <v>659</v>
      </c>
      <c r="F413" s="23" t="s">
        <v>474</v>
      </c>
      <c r="G413" s="23" t="s">
        <v>471</v>
      </c>
      <c r="H413" s="32" t="s">
        <v>45</v>
      </c>
      <c r="I413" s="23" t="s">
        <v>37</v>
      </c>
      <c r="J413" s="23" t="s">
        <v>1565</v>
      </c>
      <c r="K413" s="23" t="s">
        <v>1566</v>
      </c>
      <c r="L413" s="23" t="n">
        <v>5900</v>
      </c>
      <c r="M413" s="23" t="n">
        <v>1963</v>
      </c>
      <c r="N413" s="23" t="n">
        <v>1</v>
      </c>
      <c r="O413" s="23" t="n">
        <v>1</v>
      </c>
      <c r="P413" s="23" t="n">
        <v>125.08</v>
      </c>
      <c r="Q413" s="24" t="n">
        <v>19910000000000</v>
      </c>
      <c r="R413" s="23" t="n">
        <v>77</v>
      </c>
      <c r="S413" s="23" t="n">
        <v>9.4</v>
      </c>
      <c r="T413" s="23" t="n">
        <v>59.2</v>
      </c>
      <c r="U413" s="23" t="n">
        <v>1397715000</v>
      </c>
      <c r="V413" s="33" t="n">
        <f aca="false">YEARFRAC(W413,X413,1)</f>
        <v>63.0527036276523</v>
      </c>
      <c r="W413" s="34" t="n">
        <f aca="false">DATE(M413,N413,O413)</f>
        <v>23012</v>
      </c>
      <c r="X413" s="34" t="n">
        <f aca="true">TODAY()</f>
        <v>46042</v>
      </c>
    </row>
    <row r="414" customFormat="false" ht="15" hidden="false" customHeight="false" outlineLevel="0" collapsed="false">
      <c r="A414" s="23" t="n">
        <v>437</v>
      </c>
      <c r="B414" s="23" t="s">
        <v>89</v>
      </c>
      <c r="C414" s="23" t="s">
        <v>1567</v>
      </c>
      <c r="D414" s="23" t="s">
        <v>539</v>
      </c>
      <c r="E414" s="23" t="s">
        <v>540</v>
      </c>
      <c r="F414" s="23" t="s">
        <v>89</v>
      </c>
      <c r="G414" s="23" t="s">
        <v>89</v>
      </c>
      <c r="H414" s="32" t="s">
        <v>36</v>
      </c>
      <c r="I414" s="23" t="s">
        <v>37</v>
      </c>
      <c r="J414" s="23" t="s">
        <v>1568</v>
      </c>
      <c r="K414" s="23" t="s">
        <v>1569</v>
      </c>
      <c r="L414" s="23" t="n">
        <v>5900</v>
      </c>
      <c r="M414" s="23" t="n">
        <v>1930</v>
      </c>
      <c r="N414" s="23" t="n">
        <v>4</v>
      </c>
      <c r="O414" s="23" t="n">
        <v>1</v>
      </c>
      <c r="P414" s="23" t="n">
        <v>113.27</v>
      </c>
      <c r="Q414" s="24" t="n">
        <v>543649976166</v>
      </c>
      <c r="R414" s="23" t="n">
        <v>76.9</v>
      </c>
      <c r="S414" s="23" t="n">
        <v>14.9</v>
      </c>
      <c r="T414" s="23" t="n">
        <v>29.5</v>
      </c>
      <c r="U414" s="23" t="n">
        <v>69625582</v>
      </c>
      <c r="V414" s="33" t="n">
        <f aca="false">YEARFRAC(W414,X414,1)</f>
        <v>95.8062886336052</v>
      </c>
      <c r="W414" s="34" t="n">
        <f aca="false">DATE(M414,N414,O414)</f>
        <v>11049</v>
      </c>
      <c r="X414" s="34" t="n">
        <f aca="true">TODAY()</f>
        <v>46042</v>
      </c>
    </row>
    <row r="415" customFormat="false" ht="15" hidden="false" customHeight="false" outlineLevel="0" collapsed="false">
      <c r="A415" s="23" t="n">
        <v>437</v>
      </c>
      <c r="B415" s="23" t="s">
        <v>62</v>
      </c>
      <c r="C415" s="23" t="s">
        <v>1570</v>
      </c>
      <c r="D415" s="23" t="s">
        <v>42</v>
      </c>
      <c r="E415" s="23" t="s">
        <v>1571</v>
      </c>
      <c r="F415" s="23" t="s">
        <v>221</v>
      </c>
      <c r="G415" s="23" t="s">
        <v>62</v>
      </c>
      <c r="H415" s="32" t="s">
        <v>45</v>
      </c>
      <c r="I415" s="23" t="s">
        <v>37</v>
      </c>
      <c r="J415" s="23" t="s">
        <v>1572</v>
      </c>
      <c r="K415" s="23" t="s">
        <v>656</v>
      </c>
      <c r="L415" s="23" t="n">
        <v>5900</v>
      </c>
      <c r="M415" s="23" t="n">
        <v>1961</v>
      </c>
      <c r="N415" s="23" t="n">
        <v>4</v>
      </c>
      <c r="O415" s="23" t="n">
        <v>23</v>
      </c>
      <c r="P415" s="23" t="n">
        <v>117.24</v>
      </c>
      <c r="Q415" s="24" t="n">
        <v>21427700000000</v>
      </c>
      <c r="R415" s="23" t="n">
        <v>78.5</v>
      </c>
      <c r="S415" s="23" t="n">
        <v>9.6</v>
      </c>
      <c r="T415" s="23" t="n">
        <v>36.6</v>
      </c>
      <c r="U415" s="23" t="n">
        <v>328239523</v>
      </c>
      <c r="V415" s="33" t="n">
        <f aca="false">YEARFRAC(W415,X415,1)</f>
        <v>64.746038330706</v>
      </c>
      <c r="W415" s="34" t="n">
        <f aca="false">DATE(M415,N415,O415)</f>
        <v>22394</v>
      </c>
      <c r="X415" s="34" t="n">
        <f aca="true">TODAY()</f>
        <v>46042</v>
      </c>
    </row>
    <row r="416" customFormat="false" ht="15" hidden="false" customHeight="false" outlineLevel="0" collapsed="false">
      <c r="A416" s="23" t="n">
        <v>437</v>
      </c>
      <c r="B416" s="23" t="s">
        <v>62</v>
      </c>
      <c r="C416" s="23" t="s">
        <v>1573</v>
      </c>
      <c r="D416" s="23" t="s">
        <v>42</v>
      </c>
      <c r="E416" s="23" t="s">
        <v>829</v>
      </c>
      <c r="F416" s="23" t="s">
        <v>1574</v>
      </c>
      <c r="G416" s="23" t="s">
        <v>62</v>
      </c>
      <c r="H416" s="32" t="s">
        <v>45</v>
      </c>
      <c r="I416" s="23" t="s">
        <v>37</v>
      </c>
      <c r="J416" s="23" t="s">
        <v>1575</v>
      </c>
      <c r="K416" s="23" t="s">
        <v>1576</v>
      </c>
      <c r="L416" s="23" t="n">
        <v>5900</v>
      </c>
      <c r="M416" s="23" t="n">
        <v>1960</v>
      </c>
      <c r="N416" s="23" t="n">
        <v>10</v>
      </c>
      <c r="O416" s="23" t="n">
        <v>12</v>
      </c>
      <c r="P416" s="23" t="n">
        <v>117.24</v>
      </c>
      <c r="Q416" s="24" t="n">
        <v>21427700000000</v>
      </c>
      <c r="R416" s="23" t="n">
        <v>78.5</v>
      </c>
      <c r="S416" s="23" t="n">
        <v>9.6</v>
      </c>
      <c r="T416" s="23" t="n">
        <v>36.6</v>
      </c>
      <c r="U416" s="23" t="n">
        <v>328239523</v>
      </c>
      <c r="V416" s="33" t="n">
        <f aca="false">YEARFRAC(W416,X416,1)</f>
        <v>65.272433801896</v>
      </c>
      <c r="W416" s="34" t="n">
        <f aca="false">DATE(M416,N416,O416)</f>
        <v>22201</v>
      </c>
      <c r="X416" s="34" t="n">
        <f aca="true">TODAY()</f>
        <v>46042</v>
      </c>
    </row>
    <row r="417" customFormat="false" ht="15" hidden="false" customHeight="false" outlineLevel="0" collapsed="false">
      <c r="A417" s="23" t="n">
        <v>437</v>
      </c>
      <c r="B417" s="23" t="s">
        <v>124</v>
      </c>
      <c r="C417" s="23" t="s">
        <v>1577</v>
      </c>
      <c r="D417" s="23" t="s">
        <v>126</v>
      </c>
      <c r="E417" s="23" t="s">
        <v>260</v>
      </c>
      <c r="F417" s="23" t="s">
        <v>1578</v>
      </c>
      <c r="G417" s="23" t="s">
        <v>124</v>
      </c>
      <c r="H417" s="32" t="s">
        <v>36</v>
      </c>
      <c r="I417" s="23" t="s">
        <v>37</v>
      </c>
      <c r="J417" s="23" t="s">
        <v>1579</v>
      </c>
      <c r="K417" s="23" t="s">
        <v>1580</v>
      </c>
      <c r="L417" s="23" t="n">
        <v>5900</v>
      </c>
      <c r="M417" s="23" t="n">
        <v>1957</v>
      </c>
      <c r="N417" s="23" t="n">
        <v>1</v>
      </c>
      <c r="O417" s="23" t="n">
        <v>15</v>
      </c>
      <c r="P417" s="23" t="n">
        <v>125.08</v>
      </c>
      <c r="Q417" s="24" t="n">
        <v>19910000000000</v>
      </c>
      <c r="R417" s="23" t="n">
        <v>77</v>
      </c>
      <c r="S417" s="23" t="n">
        <v>9.4</v>
      </c>
      <c r="T417" s="23" t="n">
        <v>59.2</v>
      </c>
      <c r="U417" s="23" t="n">
        <v>1397715000</v>
      </c>
      <c r="V417" s="33" t="n">
        <f aca="false">YEARFRAC(W417,X417,1)</f>
        <v>69.014354441272</v>
      </c>
      <c r="W417" s="34" t="n">
        <f aca="false">DATE(M417,N417,O417)</f>
        <v>20835</v>
      </c>
      <c r="X417" s="34" t="n">
        <f aca="true">TODAY()</f>
        <v>46042</v>
      </c>
    </row>
    <row r="418" customFormat="false" ht="15" hidden="false" customHeight="false" outlineLevel="0" collapsed="false">
      <c r="A418" s="23" t="n">
        <v>442</v>
      </c>
      <c r="B418" s="23" t="s">
        <v>62</v>
      </c>
      <c r="C418" s="23" t="s">
        <v>1581</v>
      </c>
      <c r="D418" s="23" t="s">
        <v>42</v>
      </c>
      <c r="E418" s="23" t="s">
        <v>220</v>
      </c>
      <c r="F418" s="23" t="s">
        <v>801</v>
      </c>
      <c r="G418" s="23" t="s">
        <v>62</v>
      </c>
      <c r="H418" s="32" t="s">
        <v>45</v>
      </c>
      <c r="I418" s="23" t="s">
        <v>37</v>
      </c>
      <c r="J418" s="23" t="s">
        <v>1582</v>
      </c>
      <c r="K418" s="23" t="s">
        <v>1583</v>
      </c>
      <c r="L418" s="23" t="n">
        <v>5800</v>
      </c>
      <c r="M418" s="23" t="n">
        <v>1964</v>
      </c>
      <c r="N418" s="23" t="n">
        <v>12</v>
      </c>
      <c r="O418" s="23" t="n">
        <v>29</v>
      </c>
      <c r="P418" s="23" t="n">
        <v>117.24</v>
      </c>
      <c r="Q418" s="24" t="n">
        <v>21427700000000</v>
      </c>
      <c r="R418" s="23" t="n">
        <v>78.5</v>
      </c>
      <c r="S418" s="23" t="n">
        <v>9.6</v>
      </c>
      <c r="T418" s="23" t="n">
        <v>36.6</v>
      </c>
      <c r="U418" s="23" t="n">
        <v>328239523</v>
      </c>
      <c r="V418" s="33" t="n">
        <f aca="false">YEARFRAC(W418,X418,1)</f>
        <v>61.0588848811438</v>
      </c>
      <c r="W418" s="34" t="n">
        <f aca="false">DATE(M418,N418,O418)</f>
        <v>23740</v>
      </c>
      <c r="X418" s="34" t="n">
        <f aca="true">TODAY()</f>
        <v>46042</v>
      </c>
    </row>
    <row r="419" customFormat="false" ht="15" hidden="false" customHeight="false" outlineLevel="0" collapsed="false">
      <c r="A419" s="23" t="n">
        <v>442</v>
      </c>
      <c r="B419" s="23" t="s">
        <v>360</v>
      </c>
      <c r="C419" s="23" t="s">
        <v>1584</v>
      </c>
      <c r="D419" s="23" t="s">
        <v>1189</v>
      </c>
      <c r="E419" s="23" t="s">
        <v>1585</v>
      </c>
      <c r="F419" s="23" t="s">
        <v>554</v>
      </c>
      <c r="G419" s="23" t="s">
        <v>360</v>
      </c>
      <c r="H419" s="32" t="s">
        <v>36</v>
      </c>
      <c r="I419" s="23" t="s">
        <v>37</v>
      </c>
      <c r="J419" s="23" t="s">
        <v>1586</v>
      </c>
      <c r="K419" s="23" t="s">
        <v>1587</v>
      </c>
      <c r="L419" s="23" t="n">
        <v>5800</v>
      </c>
      <c r="M419" s="23" t="n">
        <v>1947</v>
      </c>
      <c r="N419" s="23" t="n">
        <v>10</v>
      </c>
      <c r="O419" s="23" t="n">
        <v>25</v>
      </c>
      <c r="P419" s="23" t="n">
        <v>110.35</v>
      </c>
      <c r="Q419" s="24" t="n">
        <v>348078018464</v>
      </c>
      <c r="R419" s="23" t="n">
        <v>81</v>
      </c>
      <c r="S419" s="23" t="n">
        <v>32.4</v>
      </c>
      <c r="T419" s="23" t="n">
        <v>23.8</v>
      </c>
      <c r="U419" s="23" t="n">
        <v>5818553</v>
      </c>
      <c r="V419" s="33" t="n">
        <f aca="false">YEARFRAC(W419,X419,1)</f>
        <v>78.2395619438741</v>
      </c>
      <c r="W419" s="34" t="n">
        <f aca="false">DATE(M419,N419,O419)</f>
        <v>17465</v>
      </c>
      <c r="X419" s="34" t="n">
        <f aca="true">TODAY()</f>
        <v>46042</v>
      </c>
    </row>
    <row r="420" customFormat="false" ht="15" hidden="false" customHeight="false" outlineLevel="0" collapsed="false">
      <c r="A420" s="23" t="n">
        <v>442</v>
      </c>
      <c r="B420" s="23" t="s">
        <v>360</v>
      </c>
      <c r="C420" s="23" t="s">
        <v>1588</v>
      </c>
      <c r="D420" s="23" t="s">
        <v>42</v>
      </c>
      <c r="E420" s="23" t="s">
        <v>829</v>
      </c>
      <c r="F420" s="23" t="s">
        <v>524</v>
      </c>
      <c r="G420" s="23" t="s">
        <v>360</v>
      </c>
      <c r="H420" s="32" t="s">
        <v>45</v>
      </c>
      <c r="I420" s="23" t="s">
        <v>37</v>
      </c>
      <c r="J420" s="23" t="s">
        <v>1589</v>
      </c>
      <c r="K420" s="23" t="s">
        <v>1045</v>
      </c>
      <c r="L420" s="23" t="n">
        <v>5800</v>
      </c>
      <c r="M420" s="23" t="n">
        <v>1952</v>
      </c>
      <c r="N420" s="23" t="n">
        <v>7</v>
      </c>
      <c r="O420" s="23" t="n">
        <v>29</v>
      </c>
      <c r="P420" s="23" t="n">
        <v>117.24</v>
      </c>
      <c r="Q420" s="24" t="n">
        <v>21427700000000</v>
      </c>
      <c r="R420" s="23" t="n">
        <v>78.5</v>
      </c>
      <c r="S420" s="23" t="n">
        <v>9.6</v>
      </c>
      <c r="T420" s="23" t="n">
        <v>36.6</v>
      </c>
      <c r="U420" s="23" t="n">
        <v>328239523</v>
      </c>
      <c r="V420" s="33" t="n">
        <f aca="false">YEARFRAC(W420,X420,1)</f>
        <v>73.4777688544937</v>
      </c>
      <c r="W420" s="34" t="n">
        <f aca="false">DATE(M420,N420,O420)</f>
        <v>19204</v>
      </c>
      <c r="X420" s="34" t="n">
        <f aca="true">TODAY()</f>
        <v>46042</v>
      </c>
    </row>
    <row r="421" customFormat="false" ht="15" hidden="false" customHeight="false" outlineLevel="0" collapsed="false">
      <c r="A421" s="23" t="n">
        <v>445</v>
      </c>
      <c r="B421" s="23" t="s">
        <v>286</v>
      </c>
      <c r="C421" s="23" t="s">
        <v>1590</v>
      </c>
      <c r="D421" s="23" t="s">
        <v>1591</v>
      </c>
      <c r="E421" s="23" t="s">
        <v>1592</v>
      </c>
      <c r="F421" s="23" t="s">
        <v>1593</v>
      </c>
      <c r="G421" s="23" t="s">
        <v>286</v>
      </c>
      <c r="H421" s="32" t="s">
        <v>45</v>
      </c>
      <c r="I421" s="23" t="s">
        <v>37</v>
      </c>
      <c r="J421" s="23" t="s">
        <v>1594</v>
      </c>
      <c r="K421" s="23" t="s">
        <v>1595</v>
      </c>
      <c r="L421" s="23" t="n">
        <v>5700</v>
      </c>
      <c r="M421" s="23" t="n">
        <v>1966</v>
      </c>
      <c r="N421" s="23" t="n">
        <v>9</v>
      </c>
      <c r="O421" s="23" t="n">
        <v>21</v>
      </c>
      <c r="P421" s="23" t="n">
        <v>281.66</v>
      </c>
      <c r="Q421" s="24" t="n">
        <v>153781069118</v>
      </c>
      <c r="R421" s="23" t="n">
        <v>71.6</v>
      </c>
      <c r="S421" s="23" t="n">
        <v>20.1</v>
      </c>
      <c r="T421" s="23" t="n">
        <v>45.2</v>
      </c>
      <c r="U421" s="23" t="n">
        <v>44385155</v>
      </c>
      <c r="V421" s="33" t="n">
        <f aca="false">YEARFRAC(W421,X421,1)</f>
        <v>59.3326301615799</v>
      </c>
      <c r="W421" s="34" t="n">
        <f aca="false">DATE(M421,N421,O421)</f>
        <v>24371</v>
      </c>
      <c r="X421" s="34" t="n">
        <f aca="true">TODAY()</f>
        <v>46042</v>
      </c>
    </row>
    <row r="422" customFormat="false" ht="15" hidden="false" customHeight="false" outlineLevel="0" collapsed="false">
      <c r="A422" s="23" t="n">
        <v>445</v>
      </c>
      <c r="B422" s="23" t="s">
        <v>360</v>
      </c>
      <c r="C422" s="23" t="s">
        <v>1596</v>
      </c>
      <c r="D422" s="23" t="s">
        <v>42</v>
      </c>
      <c r="E422" s="23" t="s">
        <v>980</v>
      </c>
      <c r="F422" s="23" t="s">
        <v>1312</v>
      </c>
      <c r="G422" s="23" t="s">
        <v>360</v>
      </c>
      <c r="H422" s="32" t="s">
        <v>45</v>
      </c>
      <c r="I422" s="23" t="s">
        <v>37</v>
      </c>
      <c r="J422" s="23" t="s">
        <v>1597</v>
      </c>
      <c r="K422" s="23" t="s">
        <v>207</v>
      </c>
      <c r="L422" s="23" t="n">
        <v>5700</v>
      </c>
      <c r="M422" s="23" t="n">
        <v>1934</v>
      </c>
      <c r="N422" s="23" t="n">
        <v>9</v>
      </c>
      <c r="O422" s="23" t="n">
        <v>15</v>
      </c>
      <c r="P422" s="23" t="n">
        <v>117.24</v>
      </c>
      <c r="Q422" s="24" t="n">
        <v>21427700000000</v>
      </c>
      <c r="R422" s="23" t="n">
        <v>78.5</v>
      </c>
      <c r="S422" s="23" t="n">
        <v>9.6</v>
      </c>
      <c r="T422" s="23" t="n">
        <v>36.6</v>
      </c>
      <c r="U422" s="23" t="n">
        <v>328239523</v>
      </c>
      <c r="V422" s="33" t="n">
        <f aca="false">YEARFRAC(W422,X422,1)</f>
        <v>91.3490638247763</v>
      </c>
      <c r="W422" s="34" t="n">
        <f aca="false">DATE(M422,N422,O422)</f>
        <v>12677</v>
      </c>
      <c r="X422" s="34" t="n">
        <f aca="true">TODAY()</f>
        <v>46042</v>
      </c>
    </row>
    <row r="423" customFormat="false" ht="15" hidden="false" customHeight="false" outlineLevel="0" collapsed="false">
      <c r="A423" s="23" t="n">
        <v>445</v>
      </c>
      <c r="B423" s="23" t="s">
        <v>305</v>
      </c>
      <c r="C423" s="23" t="s">
        <v>1598</v>
      </c>
      <c r="D423" s="23" t="s">
        <v>154</v>
      </c>
      <c r="E423" s="23" t="s">
        <v>1599</v>
      </c>
      <c r="F423" s="23" t="s">
        <v>412</v>
      </c>
      <c r="G423" s="23" t="s">
        <v>305</v>
      </c>
      <c r="H423" s="32" t="s">
        <v>36</v>
      </c>
      <c r="I423" s="23" t="s">
        <v>37</v>
      </c>
      <c r="J423" s="23" t="s">
        <v>1600</v>
      </c>
      <c r="K423" s="23" t="s">
        <v>1140</v>
      </c>
      <c r="L423" s="23" t="n">
        <v>5700</v>
      </c>
      <c r="M423" s="23" t="n">
        <v>1930</v>
      </c>
      <c r="N423" s="23" t="n">
        <v>1</v>
      </c>
      <c r="O423" s="23" t="n">
        <v>1</v>
      </c>
      <c r="P423" s="23" t="n">
        <v>116.76</v>
      </c>
      <c r="Q423" s="24" t="n">
        <v>1736425629520</v>
      </c>
      <c r="R423" s="23" t="n">
        <v>81.9</v>
      </c>
      <c r="S423" s="23" t="n">
        <v>12.8</v>
      </c>
      <c r="T423" s="23" t="n">
        <v>24.5</v>
      </c>
      <c r="U423" s="23" t="n">
        <v>36991981</v>
      </c>
      <c r="V423" s="33" t="n">
        <f aca="false">YEARFRAC(W423,X423,1)</f>
        <v>96.0526969431821</v>
      </c>
      <c r="W423" s="34" t="n">
        <f aca="false">DATE(M423,N423,O423)</f>
        <v>10959</v>
      </c>
      <c r="X423" s="34" t="n">
        <f aca="true">TODAY()</f>
        <v>46042</v>
      </c>
    </row>
    <row r="424" customFormat="false" ht="15" hidden="false" customHeight="false" outlineLevel="0" collapsed="false">
      <c r="A424" s="23" t="n">
        <v>445</v>
      </c>
      <c r="B424" s="23" t="s">
        <v>471</v>
      </c>
      <c r="C424" s="23" t="s">
        <v>1601</v>
      </c>
      <c r="D424" s="23" t="s">
        <v>505</v>
      </c>
      <c r="E424" s="23" t="s">
        <v>506</v>
      </c>
      <c r="F424" s="23" t="s">
        <v>1204</v>
      </c>
      <c r="G424" s="23" t="s">
        <v>471</v>
      </c>
      <c r="H424" s="32" t="s">
        <v>36</v>
      </c>
      <c r="I424" s="23" t="s">
        <v>37</v>
      </c>
      <c r="J424" s="23" t="s">
        <v>1602</v>
      </c>
      <c r="K424" s="23" t="s">
        <v>1603</v>
      </c>
      <c r="L424" s="23" t="n">
        <v>5700</v>
      </c>
      <c r="M424" s="23" t="n">
        <v>1951</v>
      </c>
      <c r="N424" s="23" t="n">
        <v>8</v>
      </c>
      <c r="O424" s="23" t="n">
        <v>5</v>
      </c>
      <c r="P424" s="23" t="n">
        <v>110.51</v>
      </c>
      <c r="Q424" s="24" t="n">
        <v>530832908738</v>
      </c>
      <c r="R424" s="23" t="n">
        <v>82.5</v>
      </c>
      <c r="S424" s="23" t="n">
        <v>27.9</v>
      </c>
      <c r="T424" s="23" t="n">
        <v>49.1</v>
      </c>
      <c r="U424" s="23" t="n">
        <v>10285453</v>
      </c>
      <c r="V424" s="33" t="n">
        <f aca="false">YEARFRAC(W424,X424,1)</f>
        <v>74.4613278576318</v>
      </c>
      <c r="W424" s="34" t="n">
        <f aca="false">DATE(M424,N424,O424)</f>
        <v>18845</v>
      </c>
      <c r="X424" s="34" t="n">
        <f aca="true">TODAY()</f>
        <v>46042</v>
      </c>
    </row>
    <row r="425" customFormat="false" ht="15" hidden="false" customHeight="false" outlineLevel="0" collapsed="false">
      <c r="A425" s="23" t="n">
        <v>445</v>
      </c>
      <c r="B425" s="23" t="s">
        <v>584</v>
      </c>
      <c r="C425" s="23" t="s">
        <v>1604</v>
      </c>
      <c r="D425" s="23" t="s">
        <v>189</v>
      </c>
      <c r="E425" s="23" t="s">
        <v>1605</v>
      </c>
      <c r="F425" s="23" t="s">
        <v>1181</v>
      </c>
      <c r="G425" s="23" t="s">
        <v>584</v>
      </c>
      <c r="H425" s="32" t="s">
        <v>36</v>
      </c>
      <c r="I425" s="23" t="s">
        <v>37</v>
      </c>
      <c r="J425" s="23" t="s">
        <v>1606</v>
      </c>
      <c r="K425" s="23" t="s">
        <v>316</v>
      </c>
      <c r="L425" s="23" t="n">
        <v>5700</v>
      </c>
      <c r="M425" s="23" t="n">
        <v>1945</v>
      </c>
      <c r="N425" s="23" t="n">
        <v>12</v>
      </c>
      <c r="O425" s="23" t="n">
        <v>17</v>
      </c>
      <c r="P425" s="23" t="n">
        <v>99.55</v>
      </c>
      <c r="Q425" s="24" t="n">
        <v>703082435360</v>
      </c>
      <c r="R425" s="23" t="n">
        <v>83.6</v>
      </c>
      <c r="S425" s="23" t="n">
        <v>10.1</v>
      </c>
      <c r="T425" s="23" t="n">
        <v>28.8</v>
      </c>
      <c r="U425" s="23" t="n">
        <v>8574832</v>
      </c>
      <c r="V425" s="33" t="n">
        <f aca="false">YEARFRAC(W425,X425,1)</f>
        <v>80.0944240400668</v>
      </c>
      <c r="W425" s="34" t="n">
        <f aca="false">DATE(M425,N425,O425)</f>
        <v>16788</v>
      </c>
      <c r="X425" s="34" t="n">
        <f aca="true">TODAY()</f>
        <v>46042</v>
      </c>
    </row>
    <row r="426" customFormat="false" ht="15" hidden="false" customHeight="false" outlineLevel="0" collapsed="false">
      <c r="A426" s="23" t="n">
        <v>445</v>
      </c>
      <c r="B426" s="23" t="s">
        <v>62</v>
      </c>
      <c r="C426" s="23" t="s">
        <v>1607</v>
      </c>
      <c r="D426" s="23" t="s">
        <v>42</v>
      </c>
      <c r="E426" s="23" t="s">
        <v>77</v>
      </c>
      <c r="F426" s="23" t="s">
        <v>278</v>
      </c>
      <c r="G426" s="23" t="s">
        <v>62</v>
      </c>
      <c r="H426" s="32" t="s">
        <v>36</v>
      </c>
      <c r="I426" s="23" t="s">
        <v>37</v>
      </c>
      <c r="J426" s="23" t="s">
        <v>1608</v>
      </c>
      <c r="K426" s="23" t="s">
        <v>456</v>
      </c>
      <c r="L426" s="23" t="n">
        <v>5700</v>
      </c>
      <c r="M426" s="23" t="n">
        <v>1971</v>
      </c>
      <c r="N426" s="23" t="n">
        <v>11</v>
      </c>
      <c r="O426" s="23" t="n">
        <v>2</v>
      </c>
      <c r="P426" s="23" t="n">
        <v>117.24</v>
      </c>
      <c r="Q426" s="24" t="n">
        <v>21427700000000</v>
      </c>
      <c r="R426" s="23" t="n">
        <v>78.5</v>
      </c>
      <c r="S426" s="23" t="n">
        <v>9.6</v>
      </c>
      <c r="T426" s="23" t="n">
        <v>36.6</v>
      </c>
      <c r="U426" s="23" t="n">
        <v>328239523</v>
      </c>
      <c r="V426" s="33" t="n">
        <f aca="false">YEARFRAC(W426,X426,1)</f>
        <v>54.217659137577</v>
      </c>
      <c r="W426" s="34" t="n">
        <f aca="false">DATE(M426,N426,O426)</f>
        <v>26239</v>
      </c>
      <c r="X426" s="34" t="n">
        <f aca="true">TODAY()</f>
        <v>46042</v>
      </c>
    </row>
    <row r="427" customFormat="false" ht="15" hidden="false" customHeight="false" outlineLevel="0" collapsed="false">
      <c r="A427" s="23" t="n">
        <v>445</v>
      </c>
      <c r="B427" s="23" t="s">
        <v>62</v>
      </c>
      <c r="C427" s="23" t="s">
        <v>1609</v>
      </c>
      <c r="D427" s="23" t="s">
        <v>42</v>
      </c>
      <c r="E427" s="23" t="s">
        <v>1610</v>
      </c>
      <c r="F427" s="23" t="s">
        <v>278</v>
      </c>
      <c r="G427" s="23" t="s">
        <v>62</v>
      </c>
      <c r="H427" s="32" t="s">
        <v>36</v>
      </c>
      <c r="I427" s="23" t="s">
        <v>37</v>
      </c>
      <c r="J427" s="23" t="s">
        <v>1608</v>
      </c>
      <c r="K427" s="23" t="s">
        <v>1611</v>
      </c>
      <c r="L427" s="23" t="n">
        <v>5700</v>
      </c>
      <c r="M427" s="23" t="n">
        <v>1964</v>
      </c>
      <c r="N427" s="23" t="n">
        <v>4</v>
      </c>
      <c r="O427" s="23" t="n">
        <v>1</v>
      </c>
      <c r="P427" s="23" t="n">
        <v>117.24</v>
      </c>
      <c r="Q427" s="24" t="n">
        <v>21427700000000</v>
      </c>
      <c r="R427" s="23" t="n">
        <v>78.5</v>
      </c>
      <c r="S427" s="23" t="n">
        <v>9.6</v>
      </c>
      <c r="T427" s="23" t="n">
        <v>36.6</v>
      </c>
      <c r="U427" s="23" t="n">
        <v>328239523</v>
      </c>
      <c r="V427" s="33" t="n">
        <f aca="false">YEARFRAC(W427,X427,1)</f>
        <v>61.8035722045978</v>
      </c>
      <c r="W427" s="34" t="n">
        <f aca="false">DATE(M427,N427,O427)</f>
        <v>23468</v>
      </c>
      <c r="X427" s="34" t="n">
        <f aca="true">TODAY()</f>
        <v>46042</v>
      </c>
    </row>
    <row r="428" customFormat="false" ht="15" hidden="false" customHeight="false" outlineLevel="0" collapsed="false">
      <c r="A428" s="23" t="n">
        <v>445</v>
      </c>
      <c r="B428" s="23" t="s">
        <v>62</v>
      </c>
      <c r="C428" s="23" t="s">
        <v>1612</v>
      </c>
      <c r="D428" s="23" t="s">
        <v>42</v>
      </c>
      <c r="E428" s="23" t="s">
        <v>77</v>
      </c>
      <c r="F428" s="23" t="s">
        <v>278</v>
      </c>
      <c r="G428" s="23" t="s">
        <v>62</v>
      </c>
      <c r="H428" s="32" t="s">
        <v>36</v>
      </c>
      <c r="I428" s="23" t="s">
        <v>37</v>
      </c>
      <c r="J428" s="23" t="s">
        <v>1608</v>
      </c>
      <c r="K428" s="23" t="s">
        <v>531</v>
      </c>
      <c r="L428" s="23" t="n">
        <v>5700</v>
      </c>
      <c r="M428" s="23" t="n">
        <v>1966</v>
      </c>
      <c r="N428" s="23" t="n">
        <v>8</v>
      </c>
      <c r="O428" s="23" t="n">
        <v>12</v>
      </c>
      <c r="P428" s="23" t="n">
        <v>117.24</v>
      </c>
      <c r="Q428" s="24" t="n">
        <v>21427700000000</v>
      </c>
      <c r="R428" s="23" t="n">
        <v>78.5</v>
      </c>
      <c r="S428" s="23" t="n">
        <v>9.6</v>
      </c>
      <c r="T428" s="23" t="n">
        <v>36.6</v>
      </c>
      <c r="U428" s="23" t="n">
        <v>328239523</v>
      </c>
      <c r="V428" s="33" t="n">
        <f aca="false">YEARFRAC(W428,X428,1)</f>
        <v>59.4421454219031</v>
      </c>
      <c r="W428" s="34" t="n">
        <f aca="false">DATE(M428,N428,O428)</f>
        <v>24331</v>
      </c>
      <c r="X428" s="34" t="n">
        <f aca="true">TODAY()</f>
        <v>46042</v>
      </c>
    </row>
    <row r="429" customFormat="false" ht="15" hidden="false" customHeight="false" outlineLevel="0" collapsed="false">
      <c r="A429" s="23" t="n">
        <v>455</v>
      </c>
      <c r="B429" s="23" t="s">
        <v>305</v>
      </c>
      <c r="C429" s="23" t="s">
        <v>1613</v>
      </c>
      <c r="D429" s="23" t="s">
        <v>42</v>
      </c>
      <c r="E429" s="23" t="s">
        <v>596</v>
      </c>
      <c r="F429" s="23" t="s">
        <v>1614</v>
      </c>
      <c r="G429" s="23" t="s">
        <v>305</v>
      </c>
      <c r="H429" s="32" t="s">
        <v>36</v>
      </c>
      <c r="I429" s="23" t="s">
        <v>37</v>
      </c>
      <c r="J429" s="23" t="s">
        <v>1615</v>
      </c>
      <c r="K429" s="23" t="s">
        <v>1616</v>
      </c>
      <c r="L429" s="23" t="n">
        <v>5600</v>
      </c>
      <c r="M429" s="23" t="n">
        <v>1943</v>
      </c>
      <c r="N429" s="23" t="n">
        <v>4</v>
      </c>
      <c r="O429" s="23" t="n">
        <v>6</v>
      </c>
      <c r="P429" s="23" t="n">
        <v>117.24</v>
      </c>
      <c r="Q429" s="24" t="n">
        <v>21427700000000</v>
      </c>
      <c r="R429" s="23" t="n">
        <v>78.5</v>
      </c>
      <c r="S429" s="23" t="n">
        <v>9.6</v>
      </c>
      <c r="T429" s="23" t="n">
        <v>36.6</v>
      </c>
      <c r="U429" s="23" t="n">
        <v>328239523</v>
      </c>
      <c r="V429" s="33" t="n">
        <f aca="false">YEARFRAC(W429,X429,1)</f>
        <v>82.7926078028747</v>
      </c>
      <c r="W429" s="34" t="n">
        <f aca="false">DATE(M429,N429,O429)</f>
        <v>15802</v>
      </c>
      <c r="X429" s="34" t="n">
        <f aca="true">TODAY()</f>
        <v>46042</v>
      </c>
    </row>
    <row r="430" customFormat="false" ht="15" hidden="false" customHeight="false" outlineLevel="0" collapsed="false">
      <c r="A430" s="23" t="n">
        <v>455</v>
      </c>
      <c r="B430" s="23" t="s">
        <v>187</v>
      </c>
      <c r="C430" s="23" t="s">
        <v>1617</v>
      </c>
      <c r="D430" s="23" t="s">
        <v>126</v>
      </c>
      <c r="E430" s="23" t="s">
        <v>260</v>
      </c>
      <c r="F430" s="23" t="s">
        <v>392</v>
      </c>
      <c r="G430" s="23" t="s">
        <v>187</v>
      </c>
      <c r="H430" s="32" t="s">
        <v>45</v>
      </c>
      <c r="I430" s="23" t="s">
        <v>37</v>
      </c>
      <c r="J430" s="23" t="s">
        <v>1618</v>
      </c>
      <c r="K430" s="23" t="s">
        <v>1619</v>
      </c>
      <c r="L430" s="23" t="n">
        <v>5600</v>
      </c>
      <c r="M430" s="23" t="n">
        <v>1970</v>
      </c>
      <c r="N430" s="23" t="n">
        <v>12</v>
      </c>
      <c r="O430" s="23" t="n">
        <v>1</v>
      </c>
      <c r="P430" s="23" t="n">
        <v>125.08</v>
      </c>
      <c r="Q430" s="24" t="n">
        <v>19910000000000</v>
      </c>
      <c r="R430" s="23" t="n">
        <v>77</v>
      </c>
      <c r="S430" s="23" t="n">
        <v>9.4</v>
      </c>
      <c r="T430" s="23" t="n">
        <v>59.2</v>
      </c>
      <c r="U430" s="23" t="n">
        <v>1397715000</v>
      </c>
      <c r="V430" s="33" t="n">
        <f aca="false">YEARFRAC(W430,X430,1)</f>
        <v>55.1382391085067</v>
      </c>
      <c r="W430" s="34" t="n">
        <f aca="false">DATE(M430,N430,O430)</f>
        <v>25903</v>
      </c>
      <c r="X430" s="34" t="n">
        <f aca="true">TODAY()</f>
        <v>46042</v>
      </c>
    </row>
    <row r="431" customFormat="false" ht="15" hidden="false" customHeight="false" outlineLevel="0" collapsed="false">
      <c r="A431" s="23" t="n">
        <v>455</v>
      </c>
      <c r="B431" s="23" t="s">
        <v>40</v>
      </c>
      <c r="C431" s="23" t="s">
        <v>1620</v>
      </c>
      <c r="D431" s="23" t="s">
        <v>91</v>
      </c>
      <c r="E431" s="23" t="s">
        <v>301</v>
      </c>
      <c r="F431" s="23" t="s">
        <v>1621</v>
      </c>
      <c r="G431" s="23" t="s">
        <v>40</v>
      </c>
      <c r="H431" s="32" t="s">
        <v>36</v>
      </c>
      <c r="I431" s="23" t="s">
        <v>37</v>
      </c>
      <c r="J431" s="23" t="s">
        <v>1622</v>
      </c>
      <c r="K431" s="23" t="s">
        <v>1623</v>
      </c>
      <c r="L431" s="23" t="n">
        <v>5600</v>
      </c>
      <c r="M431" s="23" t="n">
        <v>1942</v>
      </c>
      <c r="N431" s="23" t="n">
        <v>3</v>
      </c>
      <c r="O431" s="23" t="n">
        <v>5</v>
      </c>
      <c r="P431" s="23" t="n">
        <v>180.44</v>
      </c>
      <c r="Q431" s="24" t="n">
        <v>2611000000000</v>
      </c>
      <c r="R431" s="23" t="n">
        <v>69.4</v>
      </c>
      <c r="S431" s="23" t="n">
        <v>11.2</v>
      </c>
      <c r="T431" s="23" t="n">
        <v>49.7</v>
      </c>
      <c r="U431" s="23" t="n">
        <v>1366417754</v>
      </c>
      <c r="V431" s="33" t="n">
        <f aca="false">YEARFRAC(W431,X431,1)</f>
        <v>83.8802100109515</v>
      </c>
      <c r="W431" s="34" t="n">
        <f aca="false">DATE(M431,N431,O431)</f>
        <v>15405</v>
      </c>
      <c r="X431" s="34" t="n">
        <f aca="true">TODAY()</f>
        <v>46042</v>
      </c>
    </row>
    <row r="432" customFormat="false" ht="15" hidden="false" customHeight="false" outlineLevel="0" collapsed="false">
      <c r="A432" s="23" t="n">
        <v>455</v>
      </c>
      <c r="B432" s="23" t="s">
        <v>62</v>
      </c>
      <c r="C432" s="23" t="s">
        <v>1624</v>
      </c>
      <c r="D432" s="23" t="s">
        <v>42</v>
      </c>
      <c r="E432" s="23" t="s">
        <v>1625</v>
      </c>
      <c r="F432" s="23" t="s">
        <v>278</v>
      </c>
      <c r="G432" s="23" t="s">
        <v>62</v>
      </c>
      <c r="H432" s="32" t="s">
        <v>45</v>
      </c>
      <c r="I432" s="23" t="s">
        <v>37</v>
      </c>
      <c r="J432" s="23" t="s">
        <v>1626</v>
      </c>
      <c r="K432" s="23" t="s">
        <v>223</v>
      </c>
      <c r="L432" s="23" t="n">
        <v>5600</v>
      </c>
      <c r="M432" s="23" t="n">
        <v>1935</v>
      </c>
      <c r="N432" s="23" t="n">
        <v>9</v>
      </c>
      <c r="O432" s="23" t="n">
        <v>16</v>
      </c>
      <c r="P432" s="23" t="n">
        <v>117.24</v>
      </c>
      <c r="Q432" s="24" t="n">
        <v>21427700000000</v>
      </c>
      <c r="R432" s="23" t="n">
        <v>78.5</v>
      </c>
      <c r="S432" s="23" t="n">
        <v>9.6</v>
      </c>
      <c r="T432" s="23" t="n">
        <v>36.6</v>
      </c>
      <c r="U432" s="23" t="n">
        <v>328239523</v>
      </c>
      <c r="V432" s="33" t="n">
        <f aca="false">YEARFRAC(W432,X432,1)</f>
        <v>90.3463381245722</v>
      </c>
      <c r="W432" s="34" t="n">
        <f aca="false">DATE(M432,N432,O432)</f>
        <v>13043</v>
      </c>
      <c r="X432" s="34" t="n">
        <f aca="true">TODAY()</f>
        <v>46042</v>
      </c>
    </row>
    <row r="433" customFormat="false" ht="15" hidden="false" customHeight="false" outlineLevel="0" collapsed="false">
      <c r="A433" s="23" t="n">
        <v>455</v>
      </c>
      <c r="B433" s="23" t="s">
        <v>360</v>
      </c>
      <c r="C433" s="23" t="s">
        <v>1627</v>
      </c>
      <c r="D433" s="23" t="s">
        <v>126</v>
      </c>
      <c r="E433" s="23" t="s">
        <v>260</v>
      </c>
      <c r="F433" s="23" t="s">
        <v>1628</v>
      </c>
      <c r="G433" s="23" t="s">
        <v>360</v>
      </c>
      <c r="H433" s="32" t="s">
        <v>45</v>
      </c>
      <c r="I433" s="23" t="s">
        <v>37</v>
      </c>
      <c r="J433" s="23" t="s">
        <v>428</v>
      </c>
      <c r="K433" s="23" t="s">
        <v>1629</v>
      </c>
      <c r="L433" s="23" t="n">
        <v>5600</v>
      </c>
      <c r="M433" s="23" t="n">
        <v>1967</v>
      </c>
      <c r="N433" s="23" t="n">
        <v>1</v>
      </c>
      <c r="O433" s="23" t="n">
        <v>1</v>
      </c>
      <c r="P433" s="23" t="n">
        <v>125.08</v>
      </c>
      <c r="Q433" s="24" t="n">
        <v>19910000000000</v>
      </c>
      <c r="R433" s="23" t="n">
        <v>77</v>
      </c>
      <c r="S433" s="23" t="n">
        <v>9.4</v>
      </c>
      <c r="T433" s="23" t="n">
        <v>59.2</v>
      </c>
      <c r="U433" s="23" t="n">
        <v>1397715000</v>
      </c>
      <c r="V433" s="33" t="n">
        <f aca="false">YEARFRAC(W433,X433,1)</f>
        <v>59.0527036276523</v>
      </c>
      <c r="W433" s="34" t="n">
        <f aca="false">DATE(M433,N433,O433)</f>
        <v>24473</v>
      </c>
      <c r="X433" s="34" t="n">
        <f aca="true">TODAY()</f>
        <v>46042</v>
      </c>
    </row>
    <row r="434" customFormat="false" ht="15" hidden="false" customHeight="false" outlineLevel="0" collapsed="false">
      <c r="A434" s="23" t="n">
        <v>455</v>
      </c>
      <c r="B434" s="23" t="s">
        <v>62</v>
      </c>
      <c r="C434" s="23" t="s">
        <v>1630</v>
      </c>
      <c r="D434" s="23" t="s">
        <v>42</v>
      </c>
      <c r="E434" s="23" t="s">
        <v>1631</v>
      </c>
      <c r="F434" s="23" t="s">
        <v>1632</v>
      </c>
      <c r="G434" s="23" t="s">
        <v>62</v>
      </c>
      <c r="H434" s="32" t="s">
        <v>36</v>
      </c>
      <c r="I434" s="23" t="s">
        <v>103</v>
      </c>
      <c r="J434" s="23" t="s">
        <v>1633</v>
      </c>
      <c r="K434" s="23" t="s">
        <v>1634</v>
      </c>
      <c r="L434" s="23" t="n">
        <v>5600</v>
      </c>
      <c r="M434" s="23" t="n">
        <v>1958</v>
      </c>
      <c r="N434" s="23" t="n">
        <v>1</v>
      </c>
      <c r="O434" s="23" t="n">
        <v>7</v>
      </c>
      <c r="P434" s="23" t="n">
        <v>117.24</v>
      </c>
      <c r="Q434" s="24" t="n">
        <v>21427700000000</v>
      </c>
      <c r="R434" s="23" t="n">
        <v>78.5</v>
      </c>
      <c r="S434" s="23" t="n">
        <v>9.6</v>
      </c>
      <c r="T434" s="23" t="n">
        <v>36.6</v>
      </c>
      <c r="U434" s="23" t="n">
        <v>328239523</v>
      </c>
      <c r="V434" s="33" t="n">
        <f aca="false">YEARFRAC(W434,X434,1)</f>
        <v>68.0362669629395</v>
      </c>
      <c r="W434" s="34" t="n">
        <f aca="false">DATE(M434,N434,O434)</f>
        <v>21192</v>
      </c>
      <c r="X434" s="34" t="n">
        <f aca="true">TODAY()</f>
        <v>46042</v>
      </c>
    </row>
    <row r="435" customFormat="false" ht="15" hidden="false" customHeight="false" outlineLevel="0" collapsed="false">
      <c r="A435" s="23" t="n">
        <v>455</v>
      </c>
      <c r="B435" s="23" t="s">
        <v>390</v>
      </c>
      <c r="C435" s="23" t="s">
        <v>1635</v>
      </c>
      <c r="D435" s="23" t="s">
        <v>42</v>
      </c>
      <c r="E435" s="23" t="s">
        <v>596</v>
      </c>
      <c r="F435" s="23" t="s">
        <v>1632</v>
      </c>
      <c r="G435" s="23" t="s">
        <v>390</v>
      </c>
      <c r="H435" s="32" t="s">
        <v>36</v>
      </c>
      <c r="I435" s="23" t="s">
        <v>37</v>
      </c>
      <c r="J435" s="23" t="s">
        <v>1636</v>
      </c>
      <c r="K435" s="23" t="s">
        <v>531</v>
      </c>
      <c r="L435" s="23" t="n">
        <v>5600</v>
      </c>
      <c r="M435" s="23" t="n">
        <v>1953</v>
      </c>
      <c r="N435" s="23" t="n">
        <v>9</v>
      </c>
      <c r="O435" s="23" t="n">
        <v>26</v>
      </c>
      <c r="P435" s="23" t="n">
        <v>117.24</v>
      </c>
      <c r="Q435" s="24" t="n">
        <v>21427700000000</v>
      </c>
      <c r="R435" s="23" t="n">
        <v>78.5</v>
      </c>
      <c r="S435" s="23" t="n">
        <v>9.6</v>
      </c>
      <c r="T435" s="23" t="n">
        <v>36.6</v>
      </c>
      <c r="U435" s="23" t="n">
        <v>328239523</v>
      </c>
      <c r="V435" s="33" t="n">
        <f aca="false">YEARFRAC(W435,X435,1)</f>
        <v>72.3189285185733</v>
      </c>
      <c r="W435" s="34" t="n">
        <f aca="false">DATE(M435,N435,O435)</f>
        <v>19628</v>
      </c>
      <c r="X435" s="34" t="n">
        <f aca="true">TODAY()</f>
        <v>46042</v>
      </c>
    </row>
    <row r="436" customFormat="false" ht="15" hidden="false" customHeight="false" outlineLevel="0" collapsed="false">
      <c r="A436" s="23" t="n">
        <v>455</v>
      </c>
      <c r="B436" s="23" t="s">
        <v>213</v>
      </c>
      <c r="C436" s="23" t="s">
        <v>1637</v>
      </c>
      <c r="D436" s="23" t="s">
        <v>669</v>
      </c>
      <c r="E436" s="23" t="s">
        <v>1492</v>
      </c>
      <c r="F436" s="23" t="s">
        <v>1638</v>
      </c>
      <c r="G436" s="23" t="s">
        <v>213</v>
      </c>
      <c r="H436" s="32" t="s">
        <v>45</v>
      </c>
      <c r="I436" s="23" t="s">
        <v>37</v>
      </c>
      <c r="J436" s="23" t="s">
        <v>1639</v>
      </c>
      <c r="K436" s="23" t="s">
        <v>1640</v>
      </c>
      <c r="L436" s="23" t="n">
        <v>5600</v>
      </c>
      <c r="M436" s="23" t="n">
        <v>1971</v>
      </c>
      <c r="N436" s="23" t="n">
        <v>11</v>
      </c>
      <c r="O436" s="23" t="n">
        <v>1</v>
      </c>
      <c r="P436" s="23" t="n">
        <v>108.15</v>
      </c>
      <c r="Q436" s="24" t="n">
        <v>395098666122</v>
      </c>
      <c r="R436" s="23" t="n">
        <v>82.8</v>
      </c>
      <c r="S436" s="23" t="n">
        <v>23.1</v>
      </c>
      <c r="T436" s="23" t="n">
        <v>25.3</v>
      </c>
      <c r="U436" s="23" t="n">
        <v>9053300</v>
      </c>
      <c r="V436" s="33" t="n">
        <f aca="false">YEARFRAC(W436,X436,1)</f>
        <v>54.2203969883641</v>
      </c>
      <c r="W436" s="34" t="n">
        <f aca="false">DATE(M436,N436,O436)</f>
        <v>26238</v>
      </c>
      <c r="X436" s="34" t="n">
        <f aca="true">TODAY()</f>
        <v>46042</v>
      </c>
    </row>
    <row r="437" customFormat="false" ht="15" hidden="false" customHeight="false" outlineLevel="0" collapsed="false">
      <c r="A437" s="23" t="n">
        <v>455</v>
      </c>
      <c r="B437" s="23" t="s">
        <v>360</v>
      </c>
      <c r="C437" s="23" t="s">
        <v>1641</v>
      </c>
      <c r="D437" s="23" t="s">
        <v>799</v>
      </c>
      <c r="E437" s="23" t="s">
        <v>800</v>
      </c>
      <c r="F437" s="23" t="s">
        <v>1642</v>
      </c>
      <c r="G437" s="23" t="s">
        <v>360</v>
      </c>
      <c r="H437" s="32" t="s">
        <v>45</v>
      </c>
      <c r="I437" s="23" t="s">
        <v>37</v>
      </c>
      <c r="J437" s="23" t="s">
        <v>1643</v>
      </c>
      <c r="K437" s="23" t="s">
        <v>1644</v>
      </c>
      <c r="L437" s="23" t="n">
        <v>5600</v>
      </c>
      <c r="M437" s="23" t="n">
        <v>1957</v>
      </c>
      <c r="N437" s="23" t="n">
        <v>10</v>
      </c>
      <c r="O437" s="23" t="n">
        <v>23</v>
      </c>
      <c r="P437" s="23" t="n">
        <v>115.16</v>
      </c>
      <c r="Q437" s="24" t="n">
        <v>2029000000000</v>
      </c>
      <c r="R437" s="23" t="n">
        <v>82.6</v>
      </c>
      <c r="S437" s="23" t="n">
        <v>15.6</v>
      </c>
      <c r="T437" s="23" t="n">
        <v>33.2</v>
      </c>
      <c r="U437" s="23" t="n">
        <v>51709098</v>
      </c>
      <c r="V437" s="33" t="n">
        <f aca="false">YEARFRAC(W437,X437,1)</f>
        <v>68.2450033245981</v>
      </c>
      <c r="W437" s="34" t="n">
        <f aca="false">DATE(M437,N437,O437)</f>
        <v>21116</v>
      </c>
      <c r="X437" s="34" t="n">
        <f aca="true">TODAY()</f>
        <v>46042</v>
      </c>
    </row>
    <row r="438" customFormat="false" ht="15" hidden="false" customHeight="false" outlineLevel="0" collapsed="false">
      <c r="A438" s="23" t="n">
        <v>455</v>
      </c>
      <c r="B438" s="23" t="s">
        <v>40</v>
      </c>
      <c r="C438" s="23" t="s">
        <v>1645</v>
      </c>
      <c r="D438" s="23" t="s">
        <v>126</v>
      </c>
      <c r="E438" s="23" t="s">
        <v>825</v>
      </c>
      <c r="F438" s="23" t="s">
        <v>639</v>
      </c>
      <c r="G438" s="23" t="s">
        <v>40</v>
      </c>
      <c r="H438" s="32" t="s">
        <v>45</v>
      </c>
      <c r="I438" s="23" t="s">
        <v>37</v>
      </c>
      <c r="J438" s="23" t="s">
        <v>767</v>
      </c>
      <c r="K438" s="23" t="s">
        <v>1646</v>
      </c>
      <c r="L438" s="23" t="n">
        <v>5600</v>
      </c>
      <c r="M438" s="23" t="n">
        <v>1964</v>
      </c>
      <c r="N438" s="23" t="n">
        <v>1</v>
      </c>
      <c r="O438" s="23" t="n">
        <v>1</v>
      </c>
      <c r="P438" s="23" t="n">
        <v>125.08</v>
      </c>
      <c r="Q438" s="24" t="n">
        <v>19910000000000</v>
      </c>
      <c r="R438" s="23" t="n">
        <v>77</v>
      </c>
      <c r="S438" s="23" t="n">
        <v>9.4</v>
      </c>
      <c r="T438" s="23" t="n">
        <v>59.2</v>
      </c>
      <c r="U438" s="23" t="n">
        <v>1397715000</v>
      </c>
      <c r="V438" s="33" t="n">
        <f aca="false">YEARFRAC(W438,X438,1)</f>
        <v>62.0527139194298</v>
      </c>
      <c r="W438" s="34" t="n">
        <f aca="false">DATE(M438,N438,O438)</f>
        <v>23377</v>
      </c>
      <c r="X438" s="34" t="n">
        <f aca="true">TODAY()</f>
        <v>46042</v>
      </c>
    </row>
    <row r="439" customFormat="false" ht="15" hidden="false" customHeight="false" outlineLevel="0" collapsed="false">
      <c r="A439" s="23" t="n">
        <v>466</v>
      </c>
      <c r="B439" s="23" t="s">
        <v>390</v>
      </c>
      <c r="C439" s="23" t="s">
        <v>1647</v>
      </c>
      <c r="D439" s="23" t="s">
        <v>42</v>
      </c>
      <c r="E439" s="23" t="s">
        <v>1648</v>
      </c>
      <c r="F439" s="23" t="s">
        <v>1649</v>
      </c>
      <c r="G439" s="23" t="s">
        <v>390</v>
      </c>
      <c r="H439" s="32" t="s">
        <v>36</v>
      </c>
      <c r="I439" s="23" t="s">
        <v>37</v>
      </c>
      <c r="J439" s="23" t="s">
        <v>1650</v>
      </c>
      <c r="K439" s="23" t="s">
        <v>1651</v>
      </c>
      <c r="L439" s="23" t="n">
        <v>5500</v>
      </c>
      <c r="M439" s="23" t="n">
        <v>1949</v>
      </c>
      <c r="N439" s="23" t="n">
        <v>6</v>
      </c>
      <c r="O439" s="23" t="n">
        <v>29</v>
      </c>
      <c r="P439" s="23" t="n">
        <v>117.24</v>
      </c>
      <c r="Q439" s="24" t="n">
        <v>21427700000000</v>
      </c>
      <c r="R439" s="23" t="n">
        <v>78.5</v>
      </c>
      <c r="S439" s="23" t="n">
        <v>9.6</v>
      </c>
      <c r="T439" s="23" t="n">
        <v>36.6</v>
      </c>
      <c r="U439" s="23" t="n">
        <v>328239523</v>
      </c>
      <c r="V439" s="33" t="n">
        <f aca="false">YEARFRAC(W439,X439,1)</f>
        <v>76.5626031099723</v>
      </c>
      <c r="W439" s="34" t="n">
        <f aca="false">DATE(M439,N439,O439)</f>
        <v>18078</v>
      </c>
      <c r="X439" s="34" t="n">
        <f aca="true">TODAY()</f>
        <v>46042</v>
      </c>
    </row>
    <row r="440" customFormat="false" ht="15" hidden="false" customHeight="false" outlineLevel="0" collapsed="false">
      <c r="A440" s="23" t="n">
        <v>466</v>
      </c>
      <c r="B440" s="23" t="s">
        <v>75</v>
      </c>
      <c r="C440" s="23" t="s">
        <v>1652</v>
      </c>
      <c r="D440" s="23" t="s">
        <v>42</v>
      </c>
      <c r="E440" s="23" t="s">
        <v>1653</v>
      </c>
      <c r="F440" s="23" t="s">
        <v>981</v>
      </c>
      <c r="G440" s="23" t="s">
        <v>75</v>
      </c>
      <c r="H440" s="32" t="s">
        <v>36</v>
      </c>
      <c r="I440" s="23" t="s">
        <v>37</v>
      </c>
      <c r="J440" s="23" t="s">
        <v>1654</v>
      </c>
      <c r="K440" s="23" t="s">
        <v>359</v>
      </c>
      <c r="L440" s="23" t="n">
        <v>5500</v>
      </c>
      <c r="M440" s="23" t="n">
        <v>1957</v>
      </c>
      <c r="N440" s="23" t="n">
        <v>4</v>
      </c>
      <c r="O440" s="23" t="n">
        <v>12</v>
      </c>
      <c r="P440" s="23" t="n">
        <v>117.24</v>
      </c>
      <c r="Q440" s="24" t="n">
        <v>21427700000000</v>
      </c>
      <c r="R440" s="23" t="n">
        <v>78.5</v>
      </c>
      <c r="S440" s="23" t="n">
        <v>9.6</v>
      </c>
      <c r="T440" s="23" t="n">
        <v>36.6</v>
      </c>
      <c r="U440" s="23" t="n">
        <v>328239523</v>
      </c>
      <c r="V440" s="33" t="n">
        <f aca="false">YEARFRAC(W440,X440,1)</f>
        <v>68.7761567645793</v>
      </c>
      <c r="W440" s="34" t="n">
        <f aca="false">DATE(M440,N440,O440)</f>
        <v>20922</v>
      </c>
      <c r="X440" s="34" t="n">
        <f aca="true">TODAY()</f>
        <v>46042</v>
      </c>
    </row>
    <row r="441" customFormat="false" ht="15" hidden="false" customHeight="false" outlineLevel="0" collapsed="false">
      <c r="A441" s="23" t="n">
        <v>466</v>
      </c>
      <c r="B441" s="23" t="s">
        <v>49</v>
      </c>
      <c r="C441" s="23" t="s">
        <v>1655</v>
      </c>
      <c r="D441" s="23" t="s">
        <v>42</v>
      </c>
      <c r="E441" s="23" t="s">
        <v>854</v>
      </c>
      <c r="F441" s="23" t="s">
        <v>1656</v>
      </c>
      <c r="G441" s="23" t="s">
        <v>49</v>
      </c>
      <c r="H441" s="32" t="s">
        <v>45</v>
      </c>
      <c r="I441" s="23" t="s">
        <v>37</v>
      </c>
      <c r="J441" s="23" t="s">
        <v>1657</v>
      </c>
      <c r="K441" s="23" t="s">
        <v>207</v>
      </c>
      <c r="L441" s="23" t="n">
        <v>5500</v>
      </c>
      <c r="M441" s="23" t="n">
        <v>1990</v>
      </c>
      <c r="N441" s="23" t="n">
        <v>8</v>
      </c>
      <c r="O441" s="23" t="n">
        <v>6</v>
      </c>
      <c r="P441" s="23" t="n">
        <v>117.24</v>
      </c>
      <c r="Q441" s="24" t="n">
        <v>21427700000000</v>
      </c>
      <c r="R441" s="23" t="n">
        <v>78.5</v>
      </c>
      <c r="S441" s="23" t="n">
        <v>9.6</v>
      </c>
      <c r="T441" s="23" t="n">
        <v>36.6</v>
      </c>
      <c r="U441" s="23" t="n">
        <v>328239523</v>
      </c>
      <c r="V441" s="33" t="n">
        <f aca="false">YEARFRAC(W441,X441,1)</f>
        <v>35.4585614917863</v>
      </c>
      <c r="W441" s="34" t="n">
        <f aca="false">DATE(M441,N441,O441)</f>
        <v>33091</v>
      </c>
      <c r="X441" s="34" t="n">
        <f aca="true">TODAY()</f>
        <v>46042</v>
      </c>
    </row>
    <row r="442" customFormat="false" ht="15" hidden="false" customHeight="false" outlineLevel="0" collapsed="false">
      <c r="A442" s="23" t="n">
        <v>466</v>
      </c>
      <c r="B442" s="23" t="s">
        <v>49</v>
      </c>
      <c r="C442" s="23" t="s">
        <v>1658</v>
      </c>
      <c r="D442" s="23" t="s">
        <v>42</v>
      </c>
      <c r="E442" s="23" t="s">
        <v>854</v>
      </c>
      <c r="F442" s="23" t="s">
        <v>1659</v>
      </c>
      <c r="G442" s="23" t="s">
        <v>49</v>
      </c>
      <c r="H442" s="32" t="s">
        <v>45</v>
      </c>
      <c r="I442" s="23" t="s">
        <v>37</v>
      </c>
      <c r="J442" s="23" t="s">
        <v>1657</v>
      </c>
      <c r="K442" s="23" t="s">
        <v>1045</v>
      </c>
      <c r="L442" s="23" t="n">
        <v>5500</v>
      </c>
      <c r="M442" s="23" t="n">
        <v>1988</v>
      </c>
      <c r="N442" s="23" t="n">
        <v>9</v>
      </c>
      <c r="O442" s="23" t="n">
        <v>9</v>
      </c>
      <c r="P442" s="23" t="n">
        <v>117.24</v>
      </c>
      <c r="Q442" s="24" t="n">
        <v>21427700000000</v>
      </c>
      <c r="R442" s="23" t="n">
        <v>78.5</v>
      </c>
      <c r="S442" s="23" t="n">
        <v>9.6</v>
      </c>
      <c r="T442" s="23" t="n">
        <v>36.6</v>
      </c>
      <c r="U442" s="23" t="n">
        <v>328239523</v>
      </c>
      <c r="V442" s="33" t="n">
        <f aca="false">YEARFRAC(W442,X442,1)</f>
        <v>37.362793962794</v>
      </c>
      <c r="W442" s="34" t="n">
        <f aca="false">DATE(M442,N442,O442)</f>
        <v>32395</v>
      </c>
      <c r="X442" s="34" t="n">
        <f aca="true">TODAY()</f>
        <v>46042</v>
      </c>
    </row>
    <row r="443" customFormat="false" ht="15" hidden="false" customHeight="false" outlineLevel="0" collapsed="false">
      <c r="A443" s="23" t="n">
        <v>466</v>
      </c>
      <c r="B443" s="23" t="s">
        <v>264</v>
      </c>
      <c r="C443" s="23" t="s">
        <v>1660</v>
      </c>
      <c r="D443" s="23" t="s">
        <v>42</v>
      </c>
      <c r="E443" s="23" t="s">
        <v>1661</v>
      </c>
      <c r="F443" s="23" t="s">
        <v>1662</v>
      </c>
      <c r="G443" s="23" t="s">
        <v>264</v>
      </c>
      <c r="H443" s="32" t="s">
        <v>45</v>
      </c>
      <c r="I443" s="23" t="s">
        <v>37</v>
      </c>
      <c r="J443" s="23" t="s">
        <v>1663</v>
      </c>
      <c r="K443" s="23" t="s">
        <v>1664</v>
      </c>
      <c r="L443" s="23" t="n">
        <v>5500</v>
      </c>
      <c r="M443" s="23" t="n">
        <v>1929</v>
      </c>
      <c r="N443" s="23" t="n">
        <v>4</v>
      </c>
      <c r="O443" s="23" t="n">
        <v>10</v>
      </c>
      <c r="P443" s="23" t="n">
        <v>117.24</v>
      </c>
      <c r="Q443" s="24" t="n">
        <v>21427700000000</v>
      </c>
      <c r="R443" s="23" t="n">
        <v>78.5</v>
      </c>
      <c r="S443" s="23" t="n">
        <v>9.6</v>
      </c>
      <c r="T443" s="23" t="n">
        <v>36.6</v>
      </c>
      <c r="U443" s="23" t="n">
        <v>328239523</v>
      </c>
      <c r="V443" s="33" t="n">
        <f aca="false">YEARFRAC(W443,X443,1)</f>
        <v>96.7816393809018</v>
      </c>
      <c r="W443" s="34" t="n">
        <f aca="false">DATE(M443,N443,O443)</f>
        <v>10693</v>
      </c>
      <c r="X443" s="34" t="n">
        <f aca="true">TODAY()</f>
        <v>46042</v>
      </c>
    </row>
    <row r="444" customFormat="false" ht="15" hidden="false" customHeight="false" outlineLevel="0" collapsed="false">
      <c r="A444" s="23" t="n">
        <v>466</v>
      </c>
      <c r="B444" s="23" t="s">
        <v>40</v>
      </c>
      <c r="C444" s="23" t="s">
        <v>1665</v>
      </c>
      <c r="D444" s="23" t="s">
        <v>683</v>
      </c>
      <c r="E444" s="23" t="s">
        <v>1666</v>
      </c>
      <c r="F444" s="23" t="s">
        <v>427</v>
      </c>
      <c r="G444" s="23" t="s">
        <v>40</v>
      </c>
      <c r="H444" s="32" t="s">
        <v>36</v>
      </c>
      <c r="I444" s="23" t="s">
        <v>37</v>
      </c>
      <c r="J444" s="23" t="s">
        <v>1667</v>
      </c>
      <c r="K444" s="23" t="s">
        <v>1668</v>
      </c>
      <c r="L444" s="23" t="n">
        <v>5500</v>
      </c>
      <c r="M444" s="23" t="n">
        <v>1945</v>
      </c>
      <c r="N444" s="23" t="n">
        <v>5</v>
      </c>
      <c r="O444" s="23" t="n">
        <v>22</v>
      </c>
      <c r="P444" s="23" t="n">
        <v>110.62</v>
      </c>
      <c r="Q444" s="24" t="n">
        <v>2001244392042</v>
      </c>
      <c r="R444" s="23" t="n">
        <v>82.9</v>
      </c>
      <c r="S444" s="23" t="n">
        <v>24.3</v>
      </c>
      <c r="T444" s="23" t="n">
        <v>59.1</v>
      </c>
      <c r="U444" s="23" t="n">
        <v>60297396</v>
      </c>
      <c r="V444" s="33" t="n">
        <f aca="false">YEARFRAC(W444,X444,1)</f>
        <v>80.6666444073456</v>
      </c>
      <c r="W444" s="34" t="n">
        <f aca="false">DATE(M444,N444,O444)</f>
        <v>16579</v>
      </c>
      <c r="X444" s="34" t="n">
        <f aca="true">TODAY()</f>
        <v>46042</v>
      </c>
    </row>
    <row r="445" customFormat="false" ht="15" hidden="false" customHeight="false" outlineLevel="0" collapsed="false">
      <c r="A445" s="23" t="n">
        <v>466</v>
      </c>
      <c r="B445" s="23" t="s">
        <v>40</v>
      </c>
      <c r="C445" s="23" t="s">
        <v>1669</v>
      </c>
      <c r="D445" s="23" t="s">
        <v>42</v>
      </c>
      <c r="E445" s="23" t="s">
        <v>742</v>
      </c>
      <c r="F445" s="23" t="s">
        <v>1670</v>
      </c>
      <c r="G445" s="23" t="s">
        <v>40</v>
      </c>
      <c r="H445" s="32" t="s">
        <v>36</v>
      </c>
      <c r="I445" s="23" t="s">
        <v>37</v>
      </c>
      <c r="J445" s="23" t="s">
        <v>1671</v>
      </c>
      <c r="K445" s="23" t="s">
        <v>1421</v>
      </c>
      <c r="L445" s="23" t="n">
        <v>5500</v>
      </c>
      <c r="M445" s="23" t="n">
        <v>1965</v>
      </c>
      <c r="N445" s="23" t="n">
        <v>2</v>
      </c>
      <c r="O445" s="23" t="n">
        <v>27</v>
      </c>
      <c r="P445" s="23" t="n">
        <v>117.24</v>
      </c>
      <c r="Q445" s="24" t="n">
        <v>21427700000000</v>
      </c>
      <c r="R445" s="23" t="n">
        <v>78.5</v>
      </c>
      <c r="S445" s="23" t="n">
        <v>9.6</v>
      </c>
      <c r="T445" s="23" t="n">
        <v>36.6</v>
      </c>
      <c r="U445" s="23" t="n">
        <v>328239523</v>
      </c>
      <c r="V445" s="33" t="n">
        <f aca="false">YEARFRAC(W445,X445,1)</f>
        <v>60.8966217708103</v>
      </c>
      <c r="W445" s="34" t="n">
        <f aca="false">DATE(M445,N445,O445)</f>
        <v>23800</v>
      </c>
      <c r="X445" s="34" t="n">
        <f aca="true">TODAY()</f>
        <v>46042</v>
      </c>
    </row>
    <row r="446" customFormat="false" ht="15" hidden="false" customHeight="false" outlineLevel="0" collapsed="false">
      <c r="A446" s="23" t="n">
        <v>466</v>
      </c>
      <c r="B446" s="23" t="s">
        <v>89</v>
      </c>
      <c r="C446" s="23" t="s">
        <v>1672</v>
      </c>
      <c r="D446" s="23" t="s">
        <v>154</v>
      </c>
      <c r="E446" s="23" t="s">
        <v>1599</v>
      </c>
      <c r="F446" s="23" t="s">
        <v>89</v>
      </c>
      <c r="G446" s="23" t="s">
        <v>89</v>
      </c>
      <c r="H446" s="32" t="s">
        <v>36</v>
      </c>
      <c r="I446" s="23" t="s">
        <v>37</v>
      </c>
      <c r="J446" s="23" t="s">
        <v>1600</v>
      </c>
      <c r="K446" s="23" t="s">
        <v>359</v>
      </c>
      <c r="L446" s="23" t="n">
        <v>5500</v>
      </c>
      <c r="M446" s="23" t="n">
        <v>1928</v>
      </c>
      <c r="N446" s="23" t="n">
        <v>3</v>
      </c>
      <c r="O446" s="23" t="n">
        <v>20</v>
      </c>
      <c r="P446" s="23" t="n">
        <v>116.76</v>
      </c>
      <c r="Q446" s="24" t="n">
        <v>1736425629520</v>
      </c>
      <c r="R446" s="23" t="n">
        <v>81.9</v>
      </c>
      <c r="S446" s="23" t="n">
        <v>12.8</v>
      </c>
      <c r="T446" s="23" t="n">
        <v>24.5</v>
      </c>
      <c r="U446" s="23" t="n">
        <v>36991981</v>
      </c>
      <c r="V446" s="33" t="n">
        <f aca="false">YEARFRAC(W446,X446,1)</f>
        <v>97.836421460177</v>
      </c>
      <c r="W446" s="34" t="n">
        <f aca="false">DATE(M446,N446,O446)</f>
        <v>10307</v>
      </c>
      <c r="X446" s="34" t="n">
        <f aca="true">TODAY()</f>
        <v>46042</v>
      </c>
    </row>
    <row r="447" customFormat="false" ht="15" hidden="false" customHeight="false" outlineLevel="0" collapsed="false">
      <c r="A447" s="23" t="n">
        <v>466</v>
      </c>
      <c r="B447" s="23" t="s">
        <v>264</v>
      </c>
      <c r="C447" s="23" t="s">
        <v>1673</v>
      </c>
      <c r="D447" s="23" t="s">
        <v>126</v>
      </c>
      <c r="E447" s="23" t="s">
        <v>659</v>
      </c>
      <c r="F447" s="23" t="s">
        <v>357</v>
      </c>
      <c r="G447" s="23" t="s">
        <v>264</v>
      </c>
      <c r="H447" s="32" t="s">
        <v>45</v>
      </c>
      <c r="I447" s="23" t="s">
        <v>37</v>
      </c>
      <c r="J447" s="23" t="s">
        <v>635</v>
      </c>
      <c r="K447" s="23" t="s">
        <v>1674</v>
      </c>
      <c r="L447" s="23" t="n">
        <v>5500</v>
      </c>
      <c r="M447" s="23" t="n">
        <v>1955</v>
      </c>
      <c r="N447" s="23" t="n">
        <v>3</v>
      </c>
      <c r="O447" s="23" t="n">
        <v>1</v>
      </c>
      <c r="P447" s="23" t="n">
        <v>125.08</v>
      </c>
      <c r="Q447" s="24" t="n">
        <v>19910000000000</v>
      </c>
      <c r="R447" s="23" t="n">
        <v>77</v>
      </c>
      <c r="S447" s="23" t="n">
        <v>9.4</v>
      </c>
      <c r="T447" s="23" t="n">
        <v>59.2</v>
      </c>
      <c r="U447" s="23" t="n">
        <v>1397715000</v>
      </c>
      <c r="V447" s="33" t="n">
        <f aca="false">YEARFRAC(W447,X447,1)</f>
        <v>70.8911704312115</v>
      </c>
      <c r="W447" s="34" t="n">
        <f aca="false">DATE(M447,N447,O447)</f>
        <v>20149</v>
      </c>
      <c r="X447" s="34" t="n">
        <f aca="true">TODAY()</f>
        <v>46042</v>
      </c>
    </row>
    <row r="448" customFormat="false" ht="15" hidden="false" customHeight="false" outlineLevel="0" collapsed="false">
      <c r="A448" s="23" t="n">
        <v>466</v>
      </c>
      <c r="B448" s="23" t="s">
        <v>360</v>
      </c>
      <c r="C448" s="23" t="s">
        <v>1675</v>
      </c>
      <c r="D448" s="23" t="s">
        <v>178</v>
      </c>
      <c r="E448" s="23" t="s">
        <v>956</v>
      </c>
      <c r="F448" s="23" t="s">
        <v>524</v>
      </c>
      <c r="G448" s="23" t="s">
        <v>360</v>
      </c>
      <c r="H448" s="32" t="s">
        <v>45</v>
      </c>
      <c r="I448" s="23" t="s">
        <v>37</v>
      </c>
      <c r="J448" s="23" t="s">
        <v>1676</v>
      </c>
      <c r="K448" s="23" t="s">
        <v>1531</v>
      </c>
      <c r="L448" s="23" t="n">
        <v>5500</v>
      </c>
      <c r="M448" s="23" t="n">
        <v>1941</v>
      </c>
      <c r="N448" s="23" t="n">
        <v>6</v>
      </c>
      <c r="O448" s="23" t="n">
        <v>4</v>
      </c>
      <c r="P448" s="23" t="n">
        <v>112.85</v>
      </c>
      <c r="Q448" s="24" t="n">
        <v>3845630030824</v>
      </c>
      <c r="R448" s="23" t="n">
        <v>80.9</v>
      </c>
      <c r="S448" s="23" t="n">
        <v>11.5</v>
      </c>
      <c r="T448" s="23" t="n">
        <v>48.8</v>
      </c>
      <c r="U448" s="23" t="n">
        <v>83132799</v>
      </c>
      <c r="V448" s="33" t="n">
        <f aca="false">YEARFRAC(W448,X448,1)</f>
        <v>84.6310528158925</v>
      </c>
      <c r="W448" s="34" t="n">
        <f aca="false">DATE(M448,N448,O448)</f>
        <v>15131</v>
      </c>
      <c r="X448" s="34" t="n">
        <f aca="true">TODAY()</f>
        <v>46042</v>
      </c>
    </row>
    <row r="449" customFormat="false" ht="15" hidden="false" customHeight="false" outlineLevel="0" collapsed="false">
      <c r="A449" s="23" t="n">
        <v>466</v>
      </c>
      <c r="B449" s="23" t="s">
        <v>62</v>
      </c>
      <c r="C449" s="23" t="s">
        <v>1677</v>
      </c>
      <c r="D449" s="23" t="s">
        <v>178</v>
      </c>
      <c r="E449" s="23" t="s">
        <v>1678</v>
      </c>
      <c r="F449" s="23" t="s">
        <v>524</v>
      </c>
      <c r="G449" s="23" t="s">
        <v>62</v>
      </c>
      <c r="H449" s="32" t="s">
        <v>36</v>
      </c>
      <c r="I449" s="23" t="s">
        <v>37</v>
      </c>
      <c r="J449" s="23" t="s">
        <v>1679</v>
      </c>
      <c r="K449" s="23" t="s">
        <v>1680</v>
      </c>
      <c r="L449" s="23" t="n">
        <v>5500</v>
      </c>
      <c r="M449" s="23" t="n">
        <v>1965</v>
      </c>
      <c r="N449" s="23" t="n">
        <v>1</v>
      </c>
      <c r="O449" s="23" t="n">
        <v>1</v>
      </c>
      <c r="P449" s="23" t="n">
        <v>112.85</v>
      </c>
      <c r="Q449" s="24" t="n">
        <v>3845630030824</v>
      </c>
      <c r="R449" s="23" t="n">
        <v>80.9</v>
      </c>
      <c r="S449" s="23" t="n">
        <v>11.5</v>
      </c>
      <c r="T449" s="23" t="n">
        <v>48.8</v>
      </c>
      <c r="U449" s="23" t="n">
        <v>83132799</v>
      </c>
      <c r="V449" s="33" t="n">
        <f aca="false">YEARFRAC(W449,X449,1)</f>
        <v>61.0526827114153</v>
      </c>
      <c r="W449" s="34" t="n">
        <f aca="false">DATE(M449,N449,O449)</f>
        <v>23743</v>
      </c>
      <c r="X449" s="34" t="n">
        <f aca="true">TODAY()</f>
        <v>46042</v>
      </c>
    </row>
    <row r="450" customFormat="false" ht="15" hidden="false" customHeight="false" outlineLevel="0" collapsed="false">
      <c r="A450" s="23" t="n">
        <v>466</v>
      </c>
      <c r="B450" s="23" t="s">
        <v>264</v>
      </c>
      <c r="C450" s="23" t="s">
        <v>1681</v>
      </c>
      <c r="D450" s="23" t="s">
        <v>42</v>
      </c>
      <c r="E450" s="23" t="s">
        <v>1682</v>
      </c>
      <c r="F450" s="23" t="s">
        <v>1166</v>
      </c>
      <c r="G450" s="23" t="s">
        <v>264</v>
      </c>
      <c r="H450" s="32" t="s">
        <v>45</v>
      </c>
      <c r="I450" s="23" t="s">
        <v>37</v>
      </c>
      <c r="J450" s="23" t="s">
        <v>1167</v>
      </c>
      <c r="K450" s="23" t="s">
        <v>1683</v>
      </c>
      <c r="L450" s="23" t="n">
        <v>5500</v>
      </c>
      <c r="M450" s="23" t="n">
        <v>1956</v>
      </c>
      <c r="N450" s="23" t="n">
        <v>8</v>
      </c>
      <c r="O450" s="23" t="n">
        <v>21</v>
      </c>
      <c r="P450" s="23" t="n">
        <v>117.24</v>
      </c>
      <c r="Q450" s="24" t="n">
        <v>21427700000000</v>
      </c>
      <c r="R450" s="23" t="n">
        <v>78.5</v>
      </c>
      <c r="S450" s="23" t="n">
        <v>9.6</v>
      </c>
      <c r="T450" s="23" t="n">
        <v>36.6</v>
      </c>
      <c r="U450" s="23" t="n">
        <v>328239523</v>
      </c>
      <c r="V450" s="33" t="n">
        <f aca="false">YEARFRAC(W450,X450,1)</f>
        <v>69.4147996760884</v>
      </c>
      <c r="W450" s="34" t="n">
        <f aca="false">DATE(M450,N450,O450)</f>
        <v>20688</v>
      </c>
      <c r="X450" s="34" t="n">
        <f aca="true">TODAY()</f>
        <v>46042</v>
      </c>
    </row>
    <row r="451" customFormat="false" ht="15" hidden="false" customHeight="false" outlineLevel="0" collapsed="false">
      <c r="A451" s="23" t="n">
        <v>466</v>
      </c>
      <c r="B451" s="23" t="s">
        <v>75</v>
      </c>
      <c r="C451" s="23" t="s">
        <v>1684</v>
      </c>
      <c r="D451" s="23" t="s">
        <v>42</v>
      </c>
      <c r="E451" s="23" t="s">
        <v>1685</v>
      </c>
      <c r="F451" s="23" t="s">
        <v>981</v>
      </c>
      <c r="G451" s="23" t="s">
        <v>75</v>
      </c>
      <c r="H451" s="32" t="s">
        <v>36</v>
      </c>
      <c r="I451" s="23" t="s">
        <v>103</v>
      </c>
      <c r="J451" s="23" t="s">
        <v>1686</v>
      </c>
      <c r="K451" s="23" t="s">
        <v>1687</v>
      </c>
      <c r="L451" s="23" t="n">
        <v>5500</v>
      </c>
      <c r="M451" s="23" t="n">
        <v>1945</v>
      </c>
      <c r="N451" s="23" t="n">
        <v>1</v>
      </c>
      <c r="O451" s="23" t="n">
        <v>12</v>
      </c>
      <c r="P451" s="23" t="n">
        <v>117.24</v>
      </c>
      <c r="Q451" s="24" t="n">
        <v>21427700000000</v>
      </c>
      <c r="R451" s="23" t="n">
        <v>78.5</v>
      </c>
      <c r="S451" s="23" t="n">
        <v>9.6</v>
      </c>
      <c r="T451" s="23" t="n">
        <v>36.6</v>
      </c>
      <c r="U451" s="23" t="n">
        <v>328239523</v>
      </c>
      <c r="V451" s="33" t="n">
        <f aca="false">YEARFRAC(W451,X451,1)</f>
        <v>81.022570951586</v>
      </c>
      <c r="W451" s="34" t="n">
        <f aca="false">DATE(M451,N451,O451)</f>
        <v>16449</v>
      </c>
      <c r="X451" s="34" t="n">
        <f aca="true">TODAY()</f>
        <v>46042</v>
      </c>
    </row>
    <row r="452" customFormat="false" ht="15" hidden="false" customHeight="false" outlineLevel="0" collapsed="false">
      <c r="A452" s="23" t="n">
        <v>466</v>
      </c>
      <c r="B452" s="23" t="s">
        <v>62</v>
      </c>
      <c r="C452" s="23" t="s">
        <v>1688</v>
      </c>
      <c r="D452" s="23" t="s">
        <v>42</v>
      </c>
      <c r="E452" s="23" t="s">
        <v>77</v>
      </c>
      <c r="F452" s="23" t="s">
        <v>221</v>
      </c>
      <c r="G452" s="23" t="s">
        <v>62</v>
      </c>
      <c r="H452" s="32" t="s">
        <v>45</v>
      </c>
      <c r="I452" s="23" t="s">
        <v>37</v>
      </c>
      <c r="J452" s="23" t="s">
        <v>1689</v>
      </c>
      <c r="K452" s="23" t="s">
        <v>1690</v>
      </c>
      <c r="L452" s="23" t="n">
        <v>5500</v>
      </c>
      <c r="M452" s="23" t="n">
        <v>1944</v>
      </c>
      <c r="N452" s="23" t="n">
        <v>8</v>
      </c>
      <c r="O452" s="23" t="n">
        <v>22</v>
      </c>
      <c r="P452" s="23" t="n">
        <v>117.24</v>
      </c>
      <c r="Q452" s="24" t="n">
        <v>21427700000000</v>
      </c>
      <c r="R452" s="23" t="n">
        <v>78.5</v>
      </c>
      <c r="S452" s="23" t="n">
        <v>9.6</v>
      </c>
      <c r="T452" s="23" t="n">
        <v>36.6</v>
      </c>
      <c r="U452" s="23" t="n">
        <v>328239523</v>
      </c>
      <c r="V452" s="33" t="n">
        <f aca="false">YEARFRAC(W452,X452,1)</f>
        <v>81.4120596384747</v>
      </c>
      <c r="W452" s="34" t="n">
        <f aca="false">DATE(M452,N452,O452)</f>
        <v>16306</v>
      </c>
      <c r="X452" s="34" t="n">
        <f aca="true">TODAY()</f>
        <v>46042</v>
      </c>
    </row>
    <row r="453" customFormat="false" ht="15" hidden="false" customHeight="false" outlineLevel="0" collapsed="false">
      <c r="A453" s="23" t="n">
        <v>466</v>
      </c>
      <c r="B453" s="23" t="s">
        <v>360</v>
      </c>
      <c r="C453" s="23" t="s">
        <v>1691</v>
      </c>
      <c r="D453" s="23" t="s">
        <v>683</v>
      </c>
      <c r="E453" s="23" t="s">
        <v>1692</v>
      </c>
      <c r="F453" s="23" t="s">
        <v>1693</v>
      </c>
      <c r="G453" s="23" t="s">
        <v>360</v>
      </c>
      <c r="H453" s="32" t="s">
        <v>45</v>
      </c>
      <c r="I453" s="23" t="s">
        <v>37</v>
      </c>
      <c r="J453" s="23" t="s">
        <v>1694</v>
      </c>
      <c r="K453" s="23" t="s">
        <v>1695</v>
      </c>
      <c r="L453" s="23" t="n">
        <v>5500</v>
      </c>
      <c r="M453" s="23" t="n">
        <v>1943</v>
      </c>
      <c r="N453" s="23" t="n">
        <v>3</v>
      </c>
      <c r="O453" s="23" t="n">
        <v>20</v>
      </c>
      <c r="P453" s="23" t="n">
        <v>110.62</v>
      </c>
      <c r="Q453" s="24" t="n">
        <v>2001244392042</v>
      </c>
      <c r="R453" s="23" t="n">
        <v>82.9</v>
      </c>
      <c r="S453" s="23" t="n">
        <v>24.3</v>
      </c>
      <c r="T453" s="23" t="n">
        <v>59.1</v>
      </c>
      <c r="U453" s="23" t="n">
        <v>60297396</v>
      </c>
      <c r="V453" s="33" t="n">
        <f aca="false">YEARFRAC(W453,X453,1)</f>
        <v>82.839151266256</v>
      </c>
      <c r="W453" s="34" t="n">
        <f aca="false">DATE(M453,N453,O453)</f>
        <v>15785</v>
      </c>
      <c r="X453" s="34" t="n">
        <f aca="true">TODAY()</f>
        <v>46042</v>
      </c>
    </row>
    <row r="454" customFormat="false" ht="15" hidden="false" customHeight="false" outlineLevel="0" collapsed="false">
      <c r="A454" s="23" t="n">
        <v>466</v>
      </c>
      <c r="B454" s="23" t="s">
        <v>75</v>
      </c>
      <c r="C454" s="23" t="s">
        <v>1696</v>
      </c>
      <c r="D454" s="23" t="s">
        <v>42</v>
      </c>
      <c r="E454" s="23" t="s">
        <v>1697</v>
      </c>
      <c r="F454" s="23" t="s">
        <v>981</v>
      </c>
      <c r="G454" s="23" t="s">
        <v>75</v>
      </c>
      <c r="H454" s="32" t="s">
        <v>36</v>
      </c>
      <c r="I454" s="23" t="s">
        <v>103</v>
      </c>
      <c r="J454" s="23" t="s">
        <v>1698</v>
      </c>
      <c r="K454" s="23" t="s">
        <v>1699</v>
      </c>
      <c r="L454" s="23" t="n">
        <v>5500</v>
      </c>
      <c r="M454" s="23" t="n">
        <v>1942</v>
      </c>
      <c r="N454" s="23" t="n">
        <v>4</v>
      </c>
      <c r="O454" s="23" t="n">
        <v>15</v>
      </c>
      <c r="P454" s="23" t="n">
        <v>117.24</v>
      </c>
      <c r="Q454" s="24" t="n">
        <v>21427700000000</v>
      </c>
      <c r="R454" s="23" t="n">
        <v>78.5</v>
      </c>
      <c r="S454" s="23" t="n">
        <v>9.6</v>
      </c>
      <c r="T454" s="23" t="n">
        <v>36.6</v>
      </c>
      <c r="U454" s="23" t="n">
        <v>328239523</v>
      </c>
      <c r="V454" s="33" t="n">
        <f aca="false">YEARFRAC(W454,X454,1)</f>
        <v>83.7679572247633</v>
      </c>
      <c r="W454" s="34" t="n">
        <f aca="false">DATE(M454,N454,O454)</f>
        <v>15446</v>
      </c>
      <c r="X454" s="34" t="n">
        <f aca="true">TODAY()</f>
        <v>46042</v>
      </c>
    </row>
    <row r="455" customFormat="false" ht="15" hidden="false" customHeight="false" outlineLevel="0" collapsed="false">
      <c r="A455" s="23" t="n">
        <v>466</v>
      </c>
      <c r="B455" s="23" t="s">
        <v>49</v>
      </c>
      <c r="C455" s="23" t="s">
        <v>1700</v>
      </c>
      <c r="D455" s="23" t="s">
        <v>288</v>
      </c>
      <c r="E455" s="23" t="s">
        <v>611</v>
      </c>
      <c r="F455" s="23" t="s">
        <v>731</v>
      </c>
      <c r="G455" s="23" t="s">
        <v>49</v>
      </c>
      <c r="H455" s="32" t="s">
        <v>45</v>
      </c>
      <c r="I455" s="23" t="s">
        <v>37</v>
      </c>
      <c r="J455" s="23" t="s">
        <v>1701</v>
      </c>
      <c r="K455" s="23" t="s">
        <v>923</v>
      </c>
      <c r="L455" s="23" t="n">
        <v>5500</v>
      </c>
      <c r="M455" s="23" t="n">
        <v>1955</v>
      </c>
      <c r="N455" s="23" t="n">
        <v>4</v>
      </c>
      <c r="O455" s="23" t="n">
        <v>1</v>
      </c>
      <c r="P455" s="23" t="n">
        <v>119.8</v>
      </c>
      <c r="Q455" s="24" t="n">
        <v>1392680589329</v>
      </c>
      <c r="R455" s="23" t="n">
        <v>82.7</v>
      </c>
      <c r="S455" s="23" t="n">
        <v>23</v>
      </c>
      <c r="T455" s="23" t="n">
        <v>47.4</v>
      </c>
      <c r="U455" s="23" t="n">
        <v>25766605</v>
      </c>
      <c r="V455" s="33" t="n">
        <f aca="false">YEARFRAC(W455,X455,1)</f>
        <v>70.8062970568104</v>
      </c>
      <c r="W455" s="34" t="n">
        <f aca="false">DATE(M455,N455,O455)</f>
        <v>20180</v>
      </c>
      <c r="X455" s="34" t="n">
        <f aca="true">TODAY()</f>
        <v>46042</v>
      </c>
    </row>
    <row r="456" customFormat="false" ht="15" hidden="false" customHeight="false" outlineLevel="0" collapsed="false">
      <c r="A456" s="23" t="n">
        <v>466</v>
      </c>
      <c r="B456" s="23" t="s">
        <v>89</v>
      </c>
      <c r="C456" s="23" t="s">
        <v>1702</v>
      </c>
      <c r="D456" s="23" t="s">
        <v>126</v>
      </c>
      <c r="E456" s="23" t="s">
        <v>173</v>
      </c>
      <c r="F456" s="23" t="s">
        <v>1642</v>
      </c>
      <c r="G456" s="23" t="s">
        <v>89</v>
      </c>
      <c r="H456" s="32" t="s">
        <v>45</v>
      </c>
      <c r="I456" s="23" t="s">
        <v>103</v>
      </c>
      <c r="J456" s="23" t="s">
        <v>725</v>
      </c>
      <c r="K456" s="23" t="s">
        <v>1703</v>
      </c>
      <c r="L456" s="23" t="n">
        <v>5500</v>
      </c>
      <c r="M456" s="23" t="n">
        <v>1967</v>
      </c>
      <c r="N456" s="23" t="n">
        <v>1</v>
      </c>
      <c r="O456" s="23" t="n">
        <v>1</v>
      </c>
      <c r="P456" s="23" t="n">
        <v>125.08</v>
      </c>
      <c r="Q456" s="24" t="n">
        <v>19910000000000</v>
      </c>
      <c r="R456" s="23" t="n">
        <v>77</v>
      </c>
      <c r="S456" s="23" t="n">
        <v>9.4</v>
      </c>
      <c r="T456" s="23" t="n">
        <v>59.2</v>
      </c>
      <c r="U456" s="23" t="n">
        <v>1397715000</v>
      </c>
      <c r="V456" s="33" t="n">
        <f aca="false">YEARFRAC(W456,X456,1)</f>
        <v>59.0527036276523</v>
      </c>
      <c r="W456" s="34" t="n">
        <f aca="false">DATE(M456,N456,O456)</f>
        <v>24473</v>
      </c>
      <c r="X456" s="34" t="n">
        <f aca="true">TODAY()</f>
        <v>46042</v>
      </c>
    </row>
    <row r="457" customFormat="false" ht="15" hidden="false" customHeight="false" outlineLevel="0" collapsed="false">
      <c r="A457" s="23" t="n">
        <v>486</v>
      </c>
      <c r="B457" s="23" t="s">
        <v>31</v>
      </c>
      <c r="C457" s="23" t="s">
        <v>1704</v>
      </c>
      <c r="D457" s="23" t="s">
        <v>683</v>
      </c>
      <c r="E457" s="23" t="s">
        <v>684</v>
      </c>
      <c r="F457" s="23" t="s">
        <v>184</v>
      </c>
      <c r="G457" s="23" t="s">
        <v>31</v>
      </c>
      <c r="H457" s="32" t="s">
        <v>45</v>
      </c>
      <c r="I457" s="23" t="s">
        <v>37</v>
      </c>
      <c r="J457" s="23" t="s">
        <v>1705</v>
      </c>
      <c r="K457" s="23" t="s">
        <v>1706</v>
      </c>
      <c r="L457" s="23" t="n">
        <v>5400</v>
      </c>
      <c r="M457" s="23" t="n">
        <v>1946</v>
      </c>
      <c r="N457" s="23" t="n">
        <v>1</v>
      </c>
      <c r="O457" s="23" t="n">
        <v>1</v>
      </c>
      <c r="P457" s="23" t="n">
        <v>110.62</v>
      </c>
      <c r="Q457" s="24" t="n">
        <v>2001244392042</v>
      </c>
      <c r="R457" s="23" t="n">
        <v>82.9</v>
      </c>
      <c r="S457" s="23" t="n">
        <v>24.3</v>
      </c>
      <c r="T457" s="23" t="n">
        <v>59.1</v>
      </c>
      <c r="U457" s="23" t="n">
        <v>60297396</v>
      </c>
      <c r="V457" s="33" t="n">
        <f aca="false">YEARFRAC(W457,X457,1)</f>
        <v>80.0526956227818</v>
      </c>
      <c r="W457" s="34" t="n">
        <f aca="false">DATE(M457,N457,O457)</f>
        <v>16803</v>
      </c>
      <c r="X457" s="34" t="n">
        <f aca="true">TODAY()</f>
        <v>46042</v>
      </c>
    </row>
    <row r="458" customFormat="false" ht="15" hidden="false" customHeight="false" outlineLevel="0" collapsed="false">
      <c r="A458" s="23" t="n">
        <v>486</v>
      </c>
      <c r="B458" s="23" t="s">
        <v>264</v>
      </c>
      <c r="C458" s="23" t="s">
        <v>1707</v>
      </c>
      <c r="D458" s="23" t="s">
        <v>91</v>
      </c>
      <c r="E458" s="23" t="s">
        <v>92</v>
      </c>
      <c r="F458" s="23" t="s">
        <v>562</v>
      </c>
      <c r="G458" s="23" t="s">
        <v>264</v>
      </c>
      <c r="H458" s="32" t="s">
        <v>36</v>
      </c>
      <c r="I458" s="23" t="s">
        <v>37</v>
      </c>
      <c r="J458" s="23" t="s">
        <v>1708</v>
      </c>
      <c r="K458" s="23" t="s">
        <v>1709</v>
      </c>
      <c r="L458" s="23" t="n">
        <v>5400</v>
      </c>
      <c r="M458" s="23" t="n">
        <v>1941</v>
      </c>
      <c r="N458" s="23" t="n">
        <v>4</v>
      </c>
      <c r="O458" s="23" t="n">
        <v>19</v>
      </c>
      <c r="P458" s="23" t="n">
        <v>180.44</v>
      </c>
      <c r="Q458" s="24" t="n">
        <v>2611000000000</v>
      </c>
      <c r="R458" s="23" t="n">
        <v>69.4</v>
      </c>
      <c r="S458" s="23" t="n">
        <v>11.2</v>
      </c>
      <c r="T458" s="23" t="n">
        <v>49.7</v>
      </c>
      <c r="U458" s="23" t="n">
        <v>1366417754</v>
      </c>
      <c r="V458" s="33" t="n">
        <f aca="false">YEARFRAC(W458,X458,1)</f>
        <v>84.7569959568304</v>
      </c>
      <c r="W458" s="34" t="n">
        <f aca="false">DATE(M458,N458,O458)</f>
        <v>15085</v>
      </c>
      <c r="X458" s="34" t="n">
        <f aca="true">TODAY()</f>
        <v>46042</v>
      </c>
    </row>
    <row r="459" customFormat="false" ht="15" hidden="false" customHeight="false" outlineLevel="0" collapsed="false">
      <c r="A459" s="23" t="n">
        <v>486</v>
      </c>
      <c r="B459" s="23" t="s">
        <v>62</v>
      </c>
      <c r="C459" s="23" t="s">
        <v>1710</v>
      </c>
      <c r="D459" s="23" t="s">
        <v>42</v>
      </c>
      <c r="E459" s="23" t="s">
        <v>1711</v>
      </c>
      <c r="F459" s="23" t="s">
        <v>1712</v>
      </c>
      <c r="G459" s="23" t="s">
        <v>62</v>
      </c>
      <c r="H459" s="32" t="s">
        <v>36</v>
      </c>
      <c r="I459" s="23" t="s">
        <v>37</v>
      </c>
      <c r="J459" s="23" t="s">
        <v>1713</v>
      </c>
      <c r="K459" s="23" t="s">
        <v>1714</v>
      </c>
      <c r="L459" s="23" t="n">
        <v>5400</v>
      </c>
      <c r="M459" s="23" t="n">
        <v>1980</v>
      </c>
      <c r="N459" s="23" t="n">
        <v>1</v>
      </c>
      <c r="O459" s="23" t="n">
        <v>6</v>
      </c>
      <c r="P459" s="23" t="n">
        <v>117.24</v>
      </c>
      <c r="Q459" s="24" t="n">
        <v>21427700000000</v>
      </c>
      <c r="R459" s="23" t="n">
        <v>78.5</v>
      </c>
      <c r="S459" s="23" t="n">
        <v>9.6</v>
      </c>
      <c r="T459" s="23" t="n">
        <v>36.6</v>
      </c>
      <c r="U459" s="23" t="n">
        <v>328239523</v>
      </c>
      <c r="V459" s="33" t="n">
        <f aca="false">YEARFRAC(W459,X459,1)</f>
        <v>46.0390283683812</v>
      </c>
      <c r="W459" s="34" t="n">
        <f aca="false">DATE(M459,N459,O459)</f>
        <v>29226</v>
      </c>
      <c r="X459" s="34" t="n">
        <f aca="true">TODAY()</f>
        <v>46042</v>
      </c>
    </row>
    <row r="460" customFormat="false" ht="15" hidden="false" customHeight="false" outlineLevel="0" collapsed="false">
      <c r="A460" s="23" t="n">
        <v>486</v>
      </c>
      <c r="B460" s="23" t="s">
        <v>49</v>
      </c>
      <c r="C460" s="23" t="s">
        <v>1715</v>
      </c>
      <c r="D460" s="23" t="s">
        <v>561</v>
      </c>
      <c r="E460" s="23" t="s">
        <v>561</v>
      </c>
      <c r="F460" s="23" t="s">
        <v>1558</v>
      </c>
      <c r="G460" s="23" t="s">
        <v>49</v>
      </c>
      <c r="H460" s="32" t="s">
        <v>45</v>
      </c>
      <c r="I460" s="23" t="s">
        <v>37</v>
      </c>
      <c r="J460" s="23" t="s">
        <v>1716</v>
      </c>
      <c r="K460" s="23" t="s">
        <v>1717</v>
      </c>
      <c r="L460" s="23" t="n">
        <v>5400</v>
      </c>
      <c r="M460" s="23" t="n">
        <v>1955</v>
      </c>
      <c r="N460" s="23" t="n">
        <v>2</v>
      </c>
      <c r="O460" s="23" t="n">
        <v>15</v>
      </c>
      <c r="P460" s="23" t="n">
        <v>114.41</v>
      </c>
      <c r="Q460" s="24" t="n">
        <v>372062527489</v>
      </c>
      <c r="R460" s="23" t="n">
        <v>83.1</v>
      </c>
      <c r="S460" s="23" t="n">
        <v>13.1</v>
      </c>
      <c r="T460" s="23" t="n">
        <v>21</v>
      </c>
      <c r="U460" s="23" t="n">
        <v>5703569</v>
      </c>
      <c r="V460" s="33" t="n">
        <f aca="false">YEARFRAC(W460,X460,1)</f>
        <v>70.9295003422314</v>
      </c>
      <c r="W460" s="34" t="n">
        <f aca="false">DATE(M460,N460,O460)</f>
        <v>20135</v>
      </c>
      <c r="X460" s="34" t="n">
        <f aca="true">TODAY()</f>
        <v>46042</v>
      </c>
    </row>
    <row r="461" customFormat="false" ht="15" hidden="false" customHeight="false" outlineLevel="0" collapsed="false">
      <c r="A461" s="23" t="n">
        <v>486</v>
      </c>
      <c r="B461" s="23" t="s">
        <v>89</v>
      </c>
      <c r="C461" s="23" t="s">
        <v>1718</v>
      </c>
      <c r="D461" s="23" t="s">
        <v>126</v>
      </c>
      <c r="E461" s="23" t="s">
        <v>1719</v>
      </c>
      <c r="F461" s="23" t="s">
        <v>1720</v>
      </c>
      <c r="G461" s="23" t="s">
        <v>89</v>
      </c>
      <c r="H461" s="32" t="s">
        <v>45</v>
      </c>
      <c r="I461" s="23" t="s">
        <v>37</v>
      </c>
      <c r="J461" s="23" t="s">
        <v>1721</v>
      </c>
      <c r="K461" s="23" t="s">
        <v>1722</v>
      </c>
      <c r="L461" s="23" t="n">
        <v>5400</v>
      </c>
      <c r="M461" s="23" t="n">
        <v>1965</v>
      </c>
      <c r="N461" s="23" t="n">
        <v>1</v>
      </c>
      <c r="O461" s="23" t="n">
        <v>1</v>
      </c>
      <c r="P461" s="23" t="n">
        <v>125.08</v>
      </c>
      <c r="Q461" s="24" t="n">
        <v>19910000000000</v>
      </c>
      <c r="R461" s="23" t="n">
        <v>77</v>
      </c>
      <c r="S461" s="23" t="n">
        <v>9.4</v>
      </c>
      <c r="T461" s="23" t="n">
        <v>59.2</v>
      </c>
      <c r="U461" s="23" t="n">
        <v>1397715000</v>
      </c>
      <c r="V461" s="33" t="n">
        <f aca="false">YEARFRAC(W461,X461,1)</f>
        <v>61.0526827114153</v>
      </c>
      <c r="W461" s="34" t="n">
        <f aca="false">DATE(M461,N461,O461)</f>
        <v>23743</v>
      </c>
      <c r="X461" s="34" t="n">
        <f aca="true">TODAY()</f>
        <v>46042</v>
      </c>
    </row>
    <row r="462" customFormat="false" ht="15" hidden="false" customHeight="false" outlineLevel="0" collapsed="false">
      <c r="A462" s="23" t="n">
        <v>486</v>
      </c>
      <c r="B462" s="23" t="s">
        <v>264</v>
      </c>
      <c r="C462" s="23" t="s">
        <v>1723</v>
      </c>
      <c r="D462" s="23" t="s">
        <v>189</v>
      </c>
      <c r="E462" s="23" t="s">
        <v>1724</v>
      </c>
      <c r="F462" s="23" t="s">
        <v>1725</v>
      </c>
      <c r="G462" s="23" t="s">
        <v>264</v>
      </c>
      <c r="H462" s="32" t="s">
        <v>45</v>
      </c>
      <c r="I462" s="23" t="s">
        <v>37</v>
      </c>
      <c r="J462" s="23" t="s">
        <v>1726</v>
      </c>
      <c r="K462" s="23" t="s">
        <v>80</v>
      </c>
      <c r="L462" s="23" t="n">
        <v>5400</v>
      </c>
      <c r="M462" s="23" t="n">
        <v>1946</v>
      </c>
      <c r="N462" s="23" t="n">
        <v>2</v>
      </c>
      <c r="O462" s="23" t="n">
        <v>5</v>
      </c>
      <c r="P462" s="23" t="n">
        <v>99.55</v>
      </c>
      <c r="Q462" s="24" t="n">
        <v>703082435360</v>
      </c>
      <c r="R462" s="23" t="n">
        <v>83.6</v>
      </c>
      <c r="S462" s="23" t="n">
        <v>10.1</v>
      </c>
      <c r="T462" s="23" t="n">
        <v>28.8</v>
      </c>
      <c r="U462" s="23" t="n">
        <v>8574832</v>
      </c>
      <c r="V462" s="33" t="n">
        <f aca="false">YEARFRAC(W462,X462,1)</f>
        <v>79.956870035491</v>
      </c>
      <c r="W462" s="34" t="n">
        <f aca="false">DATE(M462,N462,O462)</f>
        <v>16838</v>
      </c>
      <c r="X462" s="34" t="n">
        <f aca="true">TODAY()</f>
        <v>46042</v>
      </c>
    </row>
    <row r="463" customFormat="false" ht="15" hidden="false" customHeight="false" outlineLevel="0" collapsed="false">
      <c r="A463" s="23" t="n">
        <v>486</v>
      </c>
      <c r="B463" s="23" t="s">
        <v>31</v>
      </c>
      <c r="C463" s="23" t="s">
        <v>1727</v>
      </c>
      <c r="D463" s="23" t="s">
        <v>683</v>
      </c>
      <c r="E463" s="23" t="s">
        <v>684</v>
      </c>
      <c r="F463" s="23" t="s">
        <v>184</v>
      </c>
      <c r="G463" s="23" t="s">
        <v>31</v>
      </c>
      <c r="H463" s="32" t="s">
        <v>36</v>
      </c>
      <c r="I463" s="23" t="s">
        <v>103</v>
      </c>
      <c r="J463" s="23" t="s">
        <v>1728</v>
      </c>
      <c r="K463" s="23" t="s">
        <v>1729</v>
      </c>
      <c r="L463" s="23" t="n">
        <v>5400</v>
      </c>
      <c r="M463" s="23" t="n">
        <v>1949</v>
      </c>
      <c r="N463" s="23" t="n">
        <v>5</v>
      </c>
      <c r="O463" s="23" t="n">
        <v>10</v>
      </c>
      <c r="P463" s="23" t="n">
        <v>110.62</v>
      </c>
      <c r="Q463" s="24" t="n">
        <v>2001244392042</v>
      </c>
      <c r="R463" s="23" t="n">
        <v>82.9</v>
      </c>
      <c r="S463" s="23" t="n">
        <v>24.3</v>
      </c>
      <c r="T463" s="23" t="n">
        <v>59.1</v>
      </c>
      <c r="U463" s="23" t="n">
        <v>60297396</v>
      </c>
      <c r="V463" s="33" t="n">
        <f aca="false">YEARFRAC(W463,X463,1)</f>
        <v>76.6994980518797</v>
      </c>
      <c r="W463" s="34" t="n">
        <f aca="false">DATE(M463,N463,O463)</f>
        <v>18028</v>
      </c>
      <c r="X463" s="34" t="n">
        <f aca="true">TODAY()</f>
        <v>46042</v>
      </c>
    </row>
    <row r="464" customFormat="false" ht="15" hidden="false" customHeight="false" outlineLevel="0" collapsed="false">
      <c r="A464" s="23" t="n">
        <v>486</v>
      </c>
      <c r="B464" s="23" t="s">
        <v>31</v>
      </c>
      <c r="C464" s="23" t="s">
        <v>1730</v>
      </c>
      <c r="D464" s="23" t="s">
        <v>178</v>
      </c>
      <c r="E464" s="23" t="s">
        <v>1731</v>
      </c>
      <c r="F464" s="23" t="s">
        <v>1732</v>
      </c>
      <c r="G464" s="23" t="s">
        <v>31</v>
      </c>
      <c r="H464" s="32" t="s">
        <v>36</v>
      </c>
      <c r="I464" s="23" t="s">
        <v>37</v>
      </c>
      <c r="J464" s="23" t="s">
        <v>1733</v>
      </c>
      <c r="K464" s="23" t="s">
        <v>1531</v>
      </c>
      <c r="L464" s="23" t="n">
        <v>5400</v>
      </c>
      <c r="M464" s="23" t="n">
        <v>1952</v>
      </c>
      <c r="N464" s="23" t="n">
        <v>10</v>
      </c>
      <c r="O464" s="23" t="n">
        <v>4</v>
      </c>
      <c r="P464" s="23" t="n">
        <v>112.85</v>
      </c>
      <c r="Q464" s="24" t="n">
        <v>3845630030824</v>
      </c>
      <c r="R464" s="23" t="n">
        <v>80.9</v>
      </c>
      <c r="S464" s="23" t="n">
        <v>11.5</v>
      </c>
      <c r="T464" s="23" t="n">
        <v>48.8</v>
      </c>
      <c r="U464" s="23" t="n">
        <v>83132799</v>
      </c>
      <c r="V464" s="33" t="n">
        <f aca="false">YEARFRAC(W464,X464,1)</f>
        <v>73.2943345258086</v>
      </c>
      <c r="W464" s="34" t="n">
        <f aca="false">DATE(M464,N464,O464)</f>
        <v>19271</v>
      </c>
      <c r="X464" s="34" t="n">
        <f aca="true">TODAY()</f>
        <v>46042</v>
      </c>
    </row>
    <row r="465" customFormat="false" ht="15" hidden="false" customHeight="false" outlineLevel="0" collapsed="false">
      <c r="A465" s="23" t="n">
        <v>486</v>
      </c>
      <c r="B465" s="23" t="s">
        <v>31</v>
      </c>
      <c r="C465" s="23" t="s">
        <v>1734</v>
      </c>
      <c r="D465" s="23" t="s">
        <v>178</v>
      </c>
      <c r="E465" s="23" t="s">
        <v>1433</v>
      </c>
      <c r="F465" s="23" t="s">
        <v>1732</v>
      </c>
      <c r="G465" s="23" t="s">
        <v>31</v>
      </c>
      <c r="H465" s="32" t="s">
        <v>36</v>
      </c>
      <c r="I465" s="23" t="s">
        <v>37</v>
      </c>
      <c r="J465" s="23" t="s">
        <v>1735</v>
      </c>
      <c r="K465" s="23" t="s">
        <v>1736</v>
      </c>
      <c r="L465" s="23" t="n">
        <v>5400</v>
      </c>
      <c r="M465" s="23" t="n">
        <v>1965</v>
      </c>
      <c r="N465" s="23" t="n">
        <v>3</v>
      </c>
      <c r="O465" s="23" t="n">
        <v>30</v>
      </c>
      <c r="P465" s="23" t="n">
        <v>112.85</v>
      </c>
      <c r="Q465" s="24" t="n">
        <v>3845630030824</v>
      </c>
      <c r="R465" s="23" t="n">
        <v>80.9</v>
      </c>
      <c r="S465" s="23" t="n">
        <v>11.5</v>
      </c>
      <c r="T465" s="23" t="n">
        <v>48.8</v>
      </c>
      <c r="U465" s="23" t="n">
        <v>83132799</v>
      </c>
      <c r="V465" s="33" t="n">
        <f aca="false">YEARFRAC(W465,X465,1)</f>
        <v>60.8117465224111</v>
      </c>
      <c r="W465" s="34" t="n">
        <f aca="false">DATE(M465,N465,O465)</f>
        <v>23831</v>
      </c>
      <c r="X465" s="34" t="n">
        <f aca="true">TODAY()</f>
        <v>46042</v>
      </c>
    </row>
    <row r="466" customFormat="false" ht="15" hidden="false" customHeight="false" outlineLevel="0" collapsed="false">
      <c r="A466" s="23" t="n">
        <v>486</v>
      </c>
      <c r="B466" s="23" t="s">
        <v>31</v>
      </c>
      <c r="C466" s="23" t="s">
        <v>1737</v>
      </c>
      <c r="D466" s="23" t="s">
        <v>225</v>
      </c>
      <c r="E466" s="23" t="s">
        <v>1077</v>
      </c>
      <c r="F466" s="23" t="s">
        <v>1732</v>
      </c>
      <c r="G466" s="23" t="s">
        <v>31</v>
      </c>
      <c r="H466" s="32" t="s">
        <v>36</v>
      </c>
      <c r="I466" s="23" t="s">
        <v>37</v>
      </c>
      <c r="J466" s="23" t="s">
        <v>1735</v>
      </c>
      <c r="K466" s="23" t="s">
        <v>327</v>
      </c>
      <c r="L466" s="23" t="n">
        <v>5400</v>
      </c>
      <c r="M466" s="23" t="n">
        <v>1963</v>
      </c>
      <c r="N466" s="23" t="n">
        <v>7</v>
      </c>
      <c r="O466" s="23" t="n">
        <v>13</v>
      </c>
      <c r="P466" s="23" t="n">
        <v>118.06</v>
      </c>
      <c r="Q466" s="24" t="n">
        <v>446314739528</v>
      </c>
      <c r="R466" s="23" t="n">
        <v>81.6</v>
      </c>
      <c r="S466" s="23" t="n">
        <v>25.4</v>
      </c>
      <c r="T466" s="23" t="n">
        <v>51.4</v>
      </c>
      <c r="U466" s="23" t="n">
        <v>8877067</v>
      </c>
      <c r="V466" s="33" t="n">
        <f aca="false">YEARFRAC(W466,X466,1)</f>
        <v>62.5242984257358</v>
      </c>
      <c r="W466" s="34" t="n">
        <f aca="false">DATE(M466,N466,O466)</f>
        <v>23205</v>
      </c>
      <c r="X466" s="34" t="n">
        <f aca="true">TODAY()</f>
        <v>46042</v>
      </c>
    </row>
    <row r="467" customFormat="false" ht="15" hidden="false" customHeight="false" outlineLevel="0" collapsed="false">
      <c r="A467" s="23" t="n">
        <v>486</v>
      </c>
      <c r="B467" s="23" t="s">
        <v>31</v>
      </c>
      <c r="C467" s="23" t="s">
        <v>1738</v>
      </c>
      <c r="D467" s="23" t="s">
        <v>225</v>
      </c>
      <c r="E467" s="23" t="s">
        <v>1077</v>
      </c>
      <c r="F467" s="23" t="s">
        <v>1732</v>
      </c>
      <c r="G467" s="23" t="s">
        <v>31</v>
      </c>
      <c r="H467" s="32" t="s">
        <v>36</v>
      </c>
      <c r="I467" s="23" t="s">
        <v>103</v>
      </c>
      <c r="J467" s="23" t="s">
        <v>1739</v>
      </c>
      <c r="K467" s="23" t="s">
        <v>1740</v>
      </c>
      <c r="L467" s="23" t="n">
        <v>5400</v>
      </c>
      <c r="M467" s="23" t="n">
        <v>1951</v>
      </c>
      <c r="N467" s="23" t="n">
        <v>10</v>
      </c>
      <c r="O467" s="23" t="n">
        <v>8</v>
      </c>
      <c r="P467" s="23" t="n">
        <v>118.06</v>
      </c>
      <c r="Q467" s="24" t="n">
        <v>446314739528</v>
      </c>
      <c r="R467" s="23" t="n">
        <v>81.6</v>
      </c>
      <c r="S467" s="23" t="n">
        <v>25.4</v>
      </c>
      <c r="T467" s="23" t="n">
        <v>51.4</v>
      </c>
      <c r="U467" s="23" t="n">
        <v>8877067</v>
      </c>
      <c r="V467" s="33" t="n">
        <f aca="false">YEARFRAC(W467,X467,1)</f>
        <v>74.2861054072553</v>
      </c>
      <c r="W467" s="34" t="n">
        <f aca="false">DATE(M467,N467,O467)</f>
        <v>18909</v>
      </c>
      <c r="X467" s="34" t="n">
        <f aca="true">TODAY()</f>
        <v>46042</v>
      </c>
    </row>
    <row r="468" customFormat="false" ht="15" hidden="false" customHeight="false" outlineLevel="0" collapsed="false">
      <c r="A468" s="23" t="n">
        <v>497</v>
      </c>
      <c r="B468" s="23" t="s">
        <v>62</v>
      </c>
      <c r="C468" s="23" t="s">
        <v>1741</v>
      </c>
      <c r="D468" s="23" t="s">
        <v>42</v>
      </c>
      <c r="E468" s="23" t="s">
        <v>1571</v>
      </c>
      <c r="F468" s="23" t="s">
        <v>1574</v>
      </c>
      <c r="G468" s="23" t="s">
        <v>62</v>
      </c>
      <c r="H468" s="32" t="s">
        <v>45</v>
      </c>
      <c r="I468" s="23" t="s">
        <v>37</v>
      </c>
      <c r="J468" s="23" t="s">
        <v>1742</v>
      </c>
      <c r="K468" s="23" t="s">
        <v>1743</v>
      </c>
      <c r="L468" s="23" t="n">
        <v>5300</v>
      </c>
      <c r="M468" s="23" t="n">
        <v>1973</v>
      </c>
      <c r="N468" s="23" t="n">
        <v>9</v>
      </c>
      <c r="O468" s="23" t="n">
        <v>20</v>
      </c>
      <c r="P468" s="23" t="n">
        <v>117.24</v>
      </c>
      <c r="Q468" s="24" t="n">
        <v>21427700000000</v>
      </c>
      <c r="R468" s="23" t="n">
        <v>78.5</v>
      </c>
      <c r="S468" s="23" t="n">
        <v>9.6</v>
      </c>
      <c r="T468" s="23" t="n">
        <v>36.6</v>
      </c>
      <c r="U468" s="23" t="n">
        <v>328239523</v>
      </c>
      <c r="V468" s="33" t="n">
        <f aca="false">YEARFRAC(W468,X468,1)</f>
        <v>52.3353445216245</v>
      </c>
      <c r="W468" s="34" t="n">
        <f aca="false">DATE(M468,N468,O468)</f>
        <v>26927</v>
      </c>
      <c r="X468" s="34" t="n">
        <f aca="true">TODAY()</f>
        <v>46042</v>
      </c>
    </row>
    <row r="469" customFormat="false" ht="15" hidden="false" customHeight="false" outlineLevel="0" collapsed="false">
      <c r="A469" s="23" t="n">
        <v>497</v>
      </c>
      <c r="B469" s="23" t="s">
        <v>471</v>
      </c>
      <c r="C469" s="23" t="s">
        <v>1744</v>
      </c>
      <c r="D469" s="23" t="s">
        <v>42</v>
      </c>
      <c r="E469" s="23" t="s">
        <v>829</v>
      </c>
      <c r="F469" s="23" t="s">
        <v>474</v>
      </c>
      <c r="G469" s="23" t="s">
        <v>471</v>
      </c>
      <c r="H469" s="32" t="s">
        <v>45</v>
      </c>
      <c r="I469" s="23" t="s">
        <v>37</v>
      </c>
      <c r="J469" s="23" t="s">
        <v>1745</v>
      </c>
      <c r="K469" s="23" t="s">
        <v>818</v>
      </c>
      <c r="L469" s="23" t="n">
        <v>5300</v>
      </c>
      <c r="M469" s="23" t="n">
        <v>1959</v>
      </c>
      <c r="N469" s="23" t="n">
        <v>1</v>
      </c>
      <c r="O469" s="23" t="n">
        <v>7</v>
      </c>
      <c r="P469" s="23" t="n">
        <v>117.24</v>
      </c>
      <c r="Q469" s="24" t="n">
        <v>21427700000000</v>
      </c>
      <c r="R469" s="23" t="n">
        <v>78.5</v>
      </c>
      <c r="S469" s="23" t="n">
        <v>9.6</v>
      </c>
      <c r="T469" s="23" t="n">
        <v>36.6</v>
      </c>
      <c r="U469" s="23" t="n">
        <v>328239523</v>
      </c>
      <c r="V469" s="33" t="n">
        <f aca="false">YEARFRAC(W469,X469,1)</f>
        <v>67.0362765229295</v>
      </c>
      <c r="W469" s="34" t="n">
        <f aca="false">DATE(M469,N469,O469)</f>
        <v>21557</v>
      </c>
      <c r="X469" s="34" t="n">
        <f aca="true">TODAY()</f>
        <v>46042</v>
      </c>
    </row>
    <row r="470" customFormat="false" ht="15" hidden="false" customHeight="false" outlineLevel="0" collapsed="false">
      <c r="A470" s="23" t="n">
        <v>497</v>
      </c>
      <c r="B470" s="23" t="s">
        <v>264</v>
      </c>
      <c r="C470" s="23" t="s">
        <v>1746</v>
      </c>
      <c r="D470" s="23" t="s">
        <v>1747</v>
      </c>
      <c r="E470" s="23" t="s">
        <v>1748</v>
      </c>
      <c r="F470" s="23" t="s">
        <v>1749</v>
      </c>
      <c r="G470" s="23" t="s">
        <v>264</v>
      </c>
      <c r="H470" s="32" t="s">
        <v>45</v>
      </c>
      <c r="I470" s="23" t="s">
        <v>37</v>
      </c>
      <c r="J470" s="23" t="s">
        <v>1750</v>
      </c>
      <c r="K470" s="23" t="s">
        <v>1751</v>
      </c>
      <c r="L470" s="23" t="n">
        <v>5300</v>
      </c>
      <c r="M470" s="23" t="n">
        <v>1962</v>
      </c>
      <c r="N470" s="23" t="n">
        <v>9</v>
      </c>
      <c r="O470" s="23" t="n">
        <v>26</v>
      </c>
      <c r="P470" s="23" t="n">
        <v>234.44</v>
      </c>
      <c r="Q470" s="24" t="n">
        <v>754411708203</v>
      </c>
      <c r="R470" s="23" t="n">
        <v>77.4</v>
      </c>
      <c r="S470" s="23" t="n">
        <v>17.9</v>
      </c>
      <c r="T470" s="23" t="n">
        <v>42.3</v>
      </c>
      <c r="U470" s="23" t="n">
        <v>83429615</v>
      </c>
      <c r="V470" s="33" t="n">
        <f aca="false">YEARFRAC(W470,X470,1)</f>
        <v>63.3189419148309</v>
      </c>
      <c r="W470" s="26" t="n">
        <f aca="false">DATE(M470,N470,O470)</f>
        <v>22915</v>
      </c>
      <c r="X470" s="26" t="n">
        <f aca="true">TODAY()</f>
        <v>46042</v>
      </c>
    </row>
    <row r="471" customFormat="false" ht="15" hidden="false" customHeight="false" outlineLevel="0" collapsed="false">
      <c r="A471" s="23" t="n">
        <v>497</v>
      </c>
      <c r="B471" s="23" t="s">
        <v>264</v>
      </c>
      <c r="C471" s="23" t="s">
        <v>1746</v>
      </c>
      <c r="D471" s="23" t="s">
        <v>1747</v>
      </c>
      <c r="E471" s="23" t="s">
        <v>1748</v>
      </c>
      <c r="F471" s="23" t="s">
        <v>1749</v>
      </c>
      <c r="G471" s="23" t="s">
        <v>264</v>
      </c>
      <c r="H471" s="32" t="s">
        <v>45</v>
      </c>
      <c r="I471" s="23" t="s">
        <v>37</v>
      </c>
      <c r="J471" s="23" t="s">
        <v>1750</v>
      </c>
      <c r="K471" s="23" t="s">
        <v>1751</v>
      </c>
      <c r="L471" s="23" t="n">
        <v>5300</v>
      </c>
      <c r="M471" s="23" t="n">
        <v>1962</v>
      </c>
      <c r="N471" s="23" t="n">
        <v>9</v>
      </c>
      <c r="O471" s="23" t="n">
        <v>26</v>
      </c>
      <c r="P471" s="23" t="n">
        <v>234.44</v>
      </c>
      <c r="Q471" s="24" t="n">
        <v>754411708203</v>
      </c>
      <c r="R471" s="23" t="n">
        <v>77.4</v>
      </c>
      <c r="S471" s="23" t="n">
        <v>17.9</v>
      </c>
      <c r="T471" s="23" t="n">
        <v>42.3</v>
      </c>
      <c r="U471" s="23" t="n">
        <v>83429615</v>
      </c>
      <c r="V471" s="33" t="n">
        <f aca="false">YEARFRAC(W471,X471,1)</f>
        <v>63.3189419148309</v>
      </c>
      <c r="W471" s="26" t="n">
        <f aca="false">DATE(M471,N471,O471)</f>
        <v>22915</v>
      </c>
      <c r="X471" s="26" t="n">
        <f aca="true">TODAY()</f>
        <v>46042</v>
      </c>
    </row>
    <row r="472" customFormat="false" ht="15" hidden="false" customHeight="false" outlineLevel="0" collapsed="false">
      <c r="A472" s="23" t="n">
        <v>497</v>
      </c>
      <c r="B472" s="23" t="s">
        <v>62</v>
      </c>
      <c r="C472" s="23" t="s">
        <v>1752</v>
      </c>
      <c r="D472" s="23" t="s">
        <v>42</v>
      </c>
      <c r="E472" s="23" t="s">
        <v>1332</v>
      </c>
      <c r="F472" s="23" t="s">
        <v>380</v>
      </c>
      <c r="G472" s="23" t="s">
        <v>62</v>
      </c>
      <c r="H472" s="32" t="s">
        <v>36</v>
      </c>
      <c r="I472" s="23" t="s">
        <v>103</v>
      </c>
      <c r="J472" s="23" t="s">
        <v>381</v>
      </c>
      <c r="K472" s="23" t="s">
        <v>872</v>
      </c>
      <c r="L472" s="23" t="n">
        <v>5300</v>
      </c>
      <c r="M472" s="23" t="n">
        <v>1963</v>
      </c>
      <c r="N472" s="23" t="n">
        <v>5</v>
      </c>
      <c r="O472" s="23" t="n">
        <v>7</v>
      </c>
      <c r="P472" s="23" t="n">
        <v>117.24</v>
      </c>
      <c r="Q472" s="24" t="n">
        <v>21427700000000</v>
      </c>
      <c r="R472" s="23" t="n">
        <v>78.5</v>
      </c>
      <c r="S472" s="23" t="n">
        <v>9.6</v>
      </c>
      <c r="T472" s="23" t="n">
        <v>36.6</v>
      </c>
      <c r="U472" s="23" t="n">
        <v>328239523</v>
      </c>
      <c r="V472" s="33" t="n">
        <f aca="false">YEARFRAC(W472,X472,1)</f>
        <v>62.7077344284737</v>
      </c>
      <c r="W472" s="26" t="n">
        <f aca="false">DATE(M472,N472,O472)</f>
        <v>23138</v>
      </c>
      <c r="X472" s="26" t="n">
        <f aca="true">TODAY()</f>
        <v>46042</v>
      </c>
    </row>
    <row r="473" customFormat="false" ht="15" hidden="false" customHeight="false" outlineLevel="0" collapsed="false">
      <c r="A473" s="23" t="n">
        <v>497</v>
      </c>
      <c r="B473" s="23" t="s">
        <v>62</v>
      </c>
      <c r="C473" s="23" t="s">
        <v>1753</v>
      </c>
      <c r="D473" s="23" t="s">
        <v>42</v>
      </c>
      <c r="E473" s="23" t="s">
        <v>510</v>
      </c>
      <c r="F473" s="23" t="s">
        <v>920</v>
      </c>
      <c r="G473" s="23" t="s">
        <v>62</v>
      </c>
      <c r="H473" s="32" t="s">
        <v>45</v>
      </c>
      <c r="I473" s="23" t="s">
        <v>37</v>
      </c>
      <c r="J473" s="23" t="s">
        <v>1754</v>
      </c>
      <c r="K473" s="23" t="s">
        <v>1500</v>
      </c>
      <c r="L473" s="23" t="n">
        <v>5300</v>
      </c>
      <c r="M473" s="23" t="n">
        <v>1957</v>
      </c>
      <c r="N473" s="23" t="n">
        <v>7</v>
      </c>
      <c r="O473" s="23" t="n">
        <v>4</v>
      </c>
      <c r="P473" s="23" t="n">
        <v>117.24</v>
      </c>
      <c r="Q473" s="24" t="n">
        <v>21427700000000</v>
      </c>
      <c r="R473" s="23" t="n">
        <v>78.5</v>
      </c>
      <c r="S473" s="23" t="n">
        <v>9.6</v>
      </c>
      <c r="T473" s="23" t="n">
        <v>36.6</v>
      </c>
      <c r="U473" s="23" t="n">
        <v>328239523</v>
      </c>
      <c r="V473" s="33" t="n">
        <f aca="false">YEARFRAC(W473,X473,1)</f>
        <v>68.5489107052059</v>
      </c>
      <c r="W473" s="26" t="n">
        <f aca="false">DATE(M473,N473,O473)</f>
        <v>21005</v>
      </c>
      <c r="X473" s="26" t="n">
        <f aca="true">TODAY()</f>
        <v>46042</v>
      </c>
    </row>
    <row r="474" customFormat="false" ht="15" hidden="false" customHeight="false" outlineLevel="0" collapsed="false">
      <c r="A474" s="23" t="n">
        <v>497</v>
      </c>
      <c r="B474" s="23" t="s">
        <v>89</v>
      </c>
      <c r="C474" s="23" t="s">
        <v>1755</v>
      </c>
      <c r="D474" s="23" t="s">
        <v>307</v>
      </c>
      <c r="E474" s="23" t="s">
        <v>308</v>
      </c>
      <c r="F474" s="23" t="s">
        <v>1085</v>
      </c>
      <c r="G474" s="23" t="s">
        <v>89</v>
      </c>
      <c r="H474" s="32" t="s">
        <v>36</v>
      </c>
      <c r="I474" s="23" t="s">
        <v>37</v>
      </c>
      <c r="J474" s="23" t="s">
        <v>1756</v>
      </c>
      <c r="K474" s="23" t="s">
        <v>1757</v>
      </c>
      <c r="L474" s="23" t="n">
        <v>5300</v>
      </c>
      <c r="M474" s="23" t="n">
        <v>1944</v>
      </c>
      <c r="N474" s="23" t="n">
        <v>5</v>
      </c>
      <c r="O474" s="23" t="n">
        <v>13</v>
      </c>
      <c r="P474" s="23" t="n">
        <v>151.18</v>
      </c>
      <c r="Q474" s="24" t="n">
        <v>1119190780753</v>
      </c>
      <c r="R474" s="23" t="n">
        <v>71.5</v>
      </c>
      <c r="S474" s="23" t="n">
        <v>10.2</v>
      </c>
      <c r="T474" s="23" t="n">
        <v>30.1</v>
      </c>
      <c r="U474" s="23" t="n">
        <v>270203917</v>
      </c>
      <c r="V474" s="33" t="n">
        <f aca="false">YEARFRAC(W474,X474,1)</f>
        <v>81.6885802876369</v>
      </c>
      <c r="W474" s="26" t="n">
        <f aca="false">DATE(M474,N474,O474)</f>
        <v>16205</v>
      </c>
      <c r="X474" s="26" t="n">
        <f aca="true">TODAY()</f>
        <v>46042</v>
      </c>
    </row>
    <row r="475" customFormat="false" ht="15" hidden="false" customHeight="false" outlineLevel="0" collapsed="false">
      <c r="A475" s="23" t="n">
        <v>497</v>
      </c>
      <c r="B475" s="23" t="s">
        <v>62</v>
      </c>
      <c r="C475" s="23" t="s">
        <v>1758</v>
      </c>
      <c r="D475" s="23" t="s">
        <v>42</v>
      </c>
      <c r="E475" s="23" t="s">
        <v>388</v>
      </c>
      <c r="F475" s="23" t="s">
        <v>1632</v>
      </c>
      <c r="G475" s="23" t="s">
        <v>62</v>
      </c>
      <c r="H475" s="32" t="s">
        <v>36</v>
      </c>
      <c r="I475" s="23" t="s">
        <v>37</v>
      </c>
      <c r="J475" s="23" t="s">
        <v>1633</v>
      </c>
      <c r="K475" s="23" t="s">
        <v>316</v>
      </c>
      <c r="L475" s="23" t="n">
        <v>5300</v>
      </c>
      <c r="M475" s="23" t="n">
        <v>1950</v>
      </c>
      <c r="N475" s="23" t="n">
        <v>6</v>
      </c>
      <c r="O475" s="23" t="n">
        <v>6</v>
      </c>
      <c r="P475" s="23" t="n">
        <v>117.24</v>
      </c>
      <c r="Q475" s="24" t="n">
        <v>21427700000000</v>
      </c>
      <c r="R475" s="23" t="n">
        <v>78.5</v>
      </c>
      <c r="S475" s="23" t="n">
        <v>9.6</v>
      </c>
      <c r="T475" s="23" t="n">
        <v>36.6</v>
      </c>
      <c r="U475" s="23" t="n">
        <v>328239523</v>
      </c>
      <c r="V475" s="33" t="n">
        <f aca="false">YEARFRAC(W475,X475,1)</f>
        <v>75.6255866875267</v>
      </c>
      <c r="W475" s="26" t="n">
        <f aca="false">DATE(M475,N475,O475)</f>
        <v>18420</v>
      </c>
      <c r="X475" s="26" t="n">
        <f aca="true">TODAY()</f>
        <v>46042</v>
      </c>
    </row>
    <row r="476" customFormat="false" ht="15" hidden="false" customHeight="false" outlineLevel="0" collapsed="false">
      <c r="A476" s="23" t="n">
        <v>497</v>
      </c>
      <c r="B476" s="23" t="s">
        <v>124</v>
      </c>
      <c r="C476" s="23" t="s">
        <v>1759</v>
      </c>
      <c r="D476" s="23" t="s">
        <v>42</v>
      </c>
      <c r="E476" s="23" t="s">
        <v>884</v>
      </c>
      <c r="F476" s="23" t="s">
        <v>1177</v>
      </c>
      <c r="G476" s="23" t="s">
        <v>124</v>
      </c>
      <c r="H476" s="32" t="s">
        <v>45</v>
      </c>
      <c r="I476" s="23" t="s">
        <v>103</v>
      </c>
      <c r="J476" s="23" t="s">
        <v>1760</v>
      </c>
      <c r="K476" s="23" t="s">
        <v>1761</v>
      </c>
      <c r="L476" s="23" t="n">
        <v>5300</v>
      </c>
      <c r="M476" s="23" t="n">
        <v>1943</v>
      </c>
      <c r="N476" s="23" t="n">
        <v>1</v>
      </c>
      <c r="O476" s="23" t="n">
        <v>2</v>
      </c>
      <c r="P476" s="23" t="n">
        <v>117.24</v>
      </c>
      <c r="Q476" s="24" t="n">
        <v>21427700000000</v>
      </c>
      <c r="R476" s="23" t="n">
        <v>78.5</v>
      </c>
      <c r="S476" s="23" t="n">
        <v>9.6</v>
      </c>
      <c r="T476" s="23" t="n">
        <v>36.6</v>
      </c>
      <c r="U476" s="23" t="n">
        <v>328239523</v>
      </c>
      <c r="V476" s="33" t="n">
        <f aca="false">YEARFRAC(W476,X476,1)</f>
        <v>83.0499657768652</v>
      </c>
      <c r="W476" s="26" t="n">
        <f aca="false">DATE(M476,N476,O476)</f>
        <v>15708</v>
      </c>
      <c r="X476" s="26" t="n">
        <f aca="true">TODAY()</f>
        <v>46042</v>
      </c>
    </row>
    <row r="477" customFormat="false" ht="15" hidden="false" customHeight="false" outlineLevel="0" collapsed="false">
      <c r="A477" s="23" t="n">
        <v>497</v>
      </c>
      <c r="B477" s="23" t="s">
        <v>124</v>
      </c>
      <c r="C477" s="23" t="s">
        <v>1762</v>
      </c>
      <c r="D477" s="23" t="s">
        <v>42</v>
      </c>
      <c r="E477" s="23" t="s">
        <v>884</v>
      </c>
      <c r="F477" s="23" t="s">
        <v>1177</v>
      </c>
      <c r="G477" s="23" t="s">
        <v>124</v>
      </c>
      <c r="H477" s="32" t="s">
        <v>45</v>
      </c>
      <c r="I477" s="23" t="s">
        <v>37</v>
      </c>
      <c r="J477" s="23" t="s">
        <v>1760</v>
      </c>
      <c r="K477" s="23" t="s">
        <v>1763</v>
      </c>
      <c r="L477" s="23" t="n">
        <v>5300</v>
      </c>
      <c r="M477" s="23" t="n">
        <v>1936</v>
      </c>
      <c r="N477" s="23" t="n">
        <v>12</v>
      </c>
      <c r="O477" s="23" t="n">
        <v>24</v>
      </c>
      <c r="P477" s="23" t="n">
        <v>117.24</v>
      </c>
      <c r="Q477" s="24" t="n">
        <v>21427700000000</v>
      </c>
      <c r="R477" s="23" t="n">
        <v>78.5</v>
      </c>
      <c r="S477" s="23" t="n">
        <v>9.6</v>
      </c>
      <c r="T477" s="23" t="n">
        <v>36.6</v>
      </c>
      <c r="U477" s="23" t="n">
        <v>328239523</v>
      </c>
      <c r="V477" s="33" t="n">
        <f aca="false">YEARFRAC(W477,X477,1)</f>
        <v>89.0725675431735</v>
      </c>
      <c r="W477" s="26" t="n">
        <f aca="false">DATE(M477,N477,O477)</f>
        <v>13508</v>
      </c>
      <c r="X477" s="26" t="n">
        <f aca="true">TODAY()</f>
        <v>46042</v>
      </c>
    </row>
    <row r="478" customFormat="false" ht="15" hidden="false" customHeight="false" outlineLevel="0" collapsed="false">
      <c r="A478" s="23" t="n">
        <v>497</v>
      </c>
      <c r="B478" s="23" t="s">
        <v>390</v>
      </c>
      <c r="C478" s="23" t="s">
        <v>1764</v>
      </c>
      <c r="D478" s="23" t="s">
        <v>42</v>
      </c>
      <c r="E478" s="23" t="s">
        <v>980</v>
      </c>
      <c r="F478" s="23" t="s">
        <v>1765</v>
      </c>
      <c r="G478" s="23" t="s">
        <v>390</v>
      </c>
      <c r="H478" s="32" t="s">
        <v>36</v>
      </c>
      <c r="I478" s="23" t="s">
        <v>37</v>
      </c>
      <c r="J478" s="23" t="s">
        <v>1766</v>
      </c>
      <c r="K478" s="23" t="s">
        <v>1767</v>
      </c>
      <c r="L478" s="23" t="n">
        <v>5300</v>
      </c>
      <c r="M478" s="23" t="n">
        <v>1944</v>
      </c>
      <c r="N478" s="23" t="n">
        <v>8</v>
      </c>
      <c r="O478" s="23" t="n">
        <v>30</v>
      </c>
      <c r="P478" s="23" t="n">
        <v>117.24</v>
      </c>
      <c r="Q478" s="24" t="n">
        <v>21427700000000</v>
      </c>
      <c r="R478" s="23" t="n">
        <v>78.5</v>
      </c>
      <c r="S478" s="23" t="n">
        <v>9.6</v>
      </c>
      <c r="T478" s="23" t="n">
        <v>36.6</v>
      </c>
      <c r="U478" s="23" t="n">
        <v>328239523</v>
      </c>
      <c r="V478" s="33" t="n">
        <f aca="false">YEARFRAC(W478,X478,1)</f>
        <v>81.3901570127985</v>
      </c>
      <c r="W478" s="26" t="n">
        <f aca="false">DATE(M478,N478,O478)</f>
        <v>16314</v>
      </c>
      <c r="X478" s="26" t="n">
        <f aca="true">TODAY()</f>
        <v>46042</v>
      </c>
    </row>
    <row r="479" customFormat="false" ht="15" hidden="false" customHeight="false" outlineLevel="0" collapsed="false">
      <c r="A479" s="23" t="n">
        <v>497</v>
      </c>
      <c r="B479" s="23" t="s">
        <v>62</v>
      </c>
      <c r="C479" s="23" t="s">
        <v>1768</v>
      </c>
      <c r="D479" s="23" t="s">
        <v>42</v>
      </c>
      <c r="E479" s="23" t="s">
        <v>388</v>
      </c>
      <c r="F479" s="23" t="s">
        <v>1769</v>
      </c>
      <c r="G479" s="23" t="s">
        <v>62</v>
      </c>
      <c r="H479" s="32" t="s">
        <v>45</v>
      </c>
      <c r="I479" s="23" t="s">
        <v>37</v>
      </c>
      <c r="J479" s="23" t="s">
        <v>1770</v>
      </c>
      <c r="K479" s="23" t="s">
        <v>135</v>
      </c>
      <c r="L479" s="23" t="n">
        <v>5300</v>
      </c>
      <c r="M479" s="23" t="n">
        <v>1960</v>
      </c>
      <c r="N479" s="23" t="n">
        <v>5</v>
      </c>
      <c r="O479" s="23" t="n">
        <v>22</v>
      </c>
      <c r="P479" s="23" t="n">
        <v>117.24</v>
      </c>
      <c r="Q479" s="24" t="n">
        <v>21427700000000</v>
      </c>
      <c r="R479" s="23" t="n">
        <v>78.5</v>
      </c>
      <c r="S479" s="23" t="n">
        <v>9.6</v>
      </c>
      <c r="T479" s="23" t="n">
        <v>36.6</v>
      </c>
      <c r="U479" s="23" t="n">
        <v>328239523</v>
      </c>
      <c r="V479" s="33" t="n">
        <f aca="false">YEARFRAC(W479,X479,1)</f>
        <v>65.6639424648578</v>
      </c>
      <c r="W479" s="26" t="n">
        <f aca="false">DATE(M479,N479,O479)</f>
        <v>22058</v>
      </c>
      <c r="X479" s="26" t="n">
        <f aca="true">TODAY()</f>
        <v>46042</v>
      </c>
    </row>
    <row r="480" customFormat="false" ht="15" hidden="false" customHeight="false" outlineLevel="0" collapsed="false">
      <c r="A480" s="23" t="n">
        <v>497</v>
      </c>
      <c r="B480" s="23" t="s">
        <v>264</v>
      </c>
      <c r="C480" s="23" t="s">
        <v>1771</v>
      </c>
      <c r="D480" s="23" t="s">
        <v>42</v>
      </c>
      <c r="E480" s="23" t="s">
        <v>1772</v>
      </c>
      <c r="F480" s="23" t="s">
        <v>1092</v>
      </c>
      <c r="G480" s="23" t="s">
        <v>264</v>
      </c>
      <c r="H480" s="32" t="s">
        <v>45</v>
      </c>
      <c r="I480" s="23" t="s">
        <v>37</v>
      </c>
      <c r="J480" s="23" t="s">
        <v>1773</v>
      </c>
      <c r="K480" s="23" t="s">
        <v>1774</v>
      </c>
      <c r="L480" s="23" t="n">
        <v>5300</v>
      </c>
      <c r="M480" s="23" t="n">
        <v>1941</v>
      </c>
      <c r="N480" s="23" t="n">
        <v>5</v>
      </c>
      <c r="O480" s="23" t="n">
        <v>19</v>
      </c>
      <c r="P480" s="23" t="n">
        <v>117.24</v>
      </c>
      <c r="Q480" s="24" t="n">
        <v>21427700000000</v>
      </c>
      <c r="R480" s="23" t="n">
        <v>78.5</v>
      </c>
      <c r="S480" s="23" t="n">
        <v>9.6</v>
      </c>
      <c r="T480" s="23" t="n">
        <v>36.6</v>
      </c>
      <c r="U480" s="23" t="n">
        <v>328239523</v>
      </c>
      <c r="V480" s="33" t="n">
        <f aca="false">YEARFRAC(W480,X480,1)</f>
        <v>84.674859125784</v>
      </c>
      <c r="W480" s="26" t="n">
        <f aca="false">DATE(M480,N480,O480)</f>
        <v>15115</v>
      </c>
      <c r="X480" s="26" t="n">
        <f aca="true">TODAY()</f>
        <v>46042</v>
      </c>
    </row>
    <row r="481" customFormat="false" ht="15" hidden="false" customHeight="false" outlineLevel="0" collapsed="false">
      <c r="A481" s="23" t="n">
        <v>497</v>
      </c>
      <c r="B481" s="23" t="s">
        <v>124</v>
      </c>
      <c r="C481" s="23" t="s">
        <v>1775</v>
      </c>
      <c r="D481" s="23" t="s">
        <v>178</v>
      </c>
      <c r="E481" s="23" t="s">
        <v>1776</v>
      </c>
      <c r="F481" s="23" t="s">
        <v>1777</v>
      </c>
      <c r="G481" s="23" t="s">
        <v>124</v>
      </c>
      <c r="H481" s="32" t="s">
        <v>45</v>
      </c>
      <c r="I481" s="23" t="s">
        <v>37</v>
      </c>
      <c r="J481" s="23" t="s">
        <v>1778</v>
      </c>
      <c r="K481" s="23" t="s">
        <v>1779</v>
      </c>
      <c r="L481" s="23" t="n">
        <v>5300</v>
      </c>
      <c r="M481" s="23" t="n">
        <v>1945</v>
      </c>
      <c r="N481" s="23" t="n">
        <v>6</v>
      </c>
      <c r="O481" s="23" t="n">
        <v>2</v>
      </c>
      <c r="P481" s="23" t="n">
        <v>112.85</v>
      </c>
      <c r="Q481" s="24" t="n">
        <v>3845630030824</v>
      </c>
      <c r="R481" s="23" t="n">
        <v>80.9</v>
      </c>
      <c r="S481" s="23" t="n">
        <v>11.5</v>
      </c>
      <c r="T481" s="23" t="n">
        <v>48.8</v>
      </c>
      <c r="U481" s="23" t="n">
        <v>83132799</v>
      </c>
      <c r="V481" s="33" t="n">
        <f aca="false">YEARFRAC(W481,X481,1)</f>
        <v>80.6365275459098</v>
      </c>
      <c r="W481" s="26" t="n">
        <f aca="false">DATE(M481,N481,O481)</f>
        <v>16590</v>
      </c>
      <c r="X481" s="26" t="n">
        <f aca="true">TODAY()</f>
        <v>46042</v>
      </c>
    </row>
    <row r="482" customFormat="false" ht="15" hidden="false" customHeight="false" outlineLevel="0" collapsed="false">
      <c r="A482" s="23" t="n">
        <v>497</v>
      </c>
      <c r="B482" s="23" t="s">
        <v>31</v>
      </c>
      <c r="C482" s="23" t="s">
        <v>1780</v>
      </c>
      <c r="D482" s="23" t="s">
        <v>318</v>
      </c>
      <c r="E482" s="23" t="s">
        <v>1781</v>
      </c>
      <c r="F482" s="23" t="s">
        <v>180</v>
      </c>
      <c r="G482" s="23" t="s">
        <v>31</v>
      </c>
      <c r="H482" s="32" t="s">
        <v>45</v>
      </c>
      <c r="I482" s="23" t="s">
        <v>37</v>
      </c>
      <c r="J482" s="23" t="s">
        <v>1782</v>
      </c>
      <c r="K482" s="23" t="s">
        <v>1783</v>
      </c>
      <c r="L482" s="23" t="n">
        <v>5300</v>
      </c>
      <c r="M482" s="23" t="n">
        <v>1955</v>
      </c>
      <c r="N482" s="23" t="n">
        <v>11</v>
      </c>
      <c r="O482" s="23" t="n">
        <v>15</v>
      </c>
      <c r="P482" s="23" t="n">
        <v>114.52</v>
      </c>
      <c r="Q482" s="24" t="n">
        <v>421142267938</v>
      </c>
      <c r="R482" s="23" t="n">
        <v>77.8</v>
      </c>
      <c r="S482" s="23" t="n">
        <v>0.1</v>
      </c>
      <c r="T482" s="23" t="n">
        <v>15.9</v>
      </c>
      <c r="U482" s="23" t="n">
        <v>9770529</v>
      </c>
      <c r="V482" s="33" t="n">
        <f aca="false">YEARFRAC(W482,X482,1)</f>
        <v>70.1820670773443</v>
      </c>
      <c r="W482" s="26" t="n">
        <f aca="false">DATE(M482,N482,O482)</f>
        <v>20408</v>
      </c>
      <c r="X482" s="26" t="n">
        <f aca="true">TODAY()</f>
        <v>46042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0.4921875" defaultRowHeight="15" customHeight="true" zeroHeight="false" outlineLevelRow="0" outlineLevelCol="0"/>
  <cols>
    <col collapsed="false" customWidth="true" hidden="false" outlineLevel="0" max="1" min="1" style="23" width="17.72"/>
    <col collapsed="false" customWidth="true" hidden="false" outlineLevel="0" max="2" min="2" style="23" width="22.44"/>
  </cols>
  <sheetData>
    <row r="1" customFormat="false" ht="15" hidden="false" customHeight="false" outlineLevel="0" collapsed="false">
      <c r="A1" s="37" t="s">
        <v>28</v>
      </c>
      <c r="B1" s="38" t="s">
        <v>1784</v>
      </c>
      <c r="C1" s="23"/>
    </row>
    <row r="2" customFormat="false" ht="15" hidden="false" customHeight="false" outlineLevel="0" collapsed="false">
      <c r="A2" s="39" t="s">
        <v>1785</v>
      </c>
      <c r="B2" s="40" t="n">
        <v>5</v>
      </c>
      <c r="C2" s="23"/>
    </row>
    <row r="3" customFormat="false" ht="15" hidden="false" customHeight="false" outlineLevel="0" collapsed="false">
      <c r="A3" s="41" t="s">
        <v>1786</v>
      </c>
      <c r="B3" s="42" t="n">
        <v>25</v>
      </c>
      <c r="C3" s="23"/>
    </row>
    <row r="4" customFormat="false" ht="15" hidden="false" customHeight="false" outlineLevel="0" collapsed="false">
      <c r="A4" s="41" t="s">
        <v>1787</v>
      </c>
      <c r="B4" s="42" t="n">
        <v>74</v>
      </c>
      <c r="C4" s="23"/>
    </row>
    <row r="5" customFormat="false" ht="15" hidden="false" customHeight="false" outlineLevel="0" collapsed="false">
      <c r="A5" s="41" t="s">
        <v>1788</v>
      </c>
      <c r="B5" s="42" t="n">
        <v>128</v>
      </c>
      <c r="C5" s="23"/>
    </row>
    <row r="6" customFormat="false" ht="15" hidden="false" customHeight="false" outlineLevel="0" collapsed="false">
      <c r="A6" s="41" t="s">
        <v>1789</v>
      </c>
      <c r="B6" s="42" t="n">
        <v>118</v>
      </c>
      <c r="C6" s="23"/>
    </row>
    <row r="7" customFormat="false" ht="15" hidden="false" customHeight="false" outlineLevel="0" collapsed="false">
      <c r="A7" s="41" t="s">
        <v>1790</v>
      </c>
      <c r="B7" s="42" t="n">
        <v>97</v>
      </c>
      <c r="C7" s="23"/>
    </row>
    <row r="8" customFormat="false" ht="15" hidden="false" customHeight="false" outlineLevel="0" collapsed="false">
      <c r="A8" s="41" t="s">
        <v>1791</v>
      </c>
      <c r="B8" s="43" t="n">
        <v>34</v>
      </c>
      <c r="C8" s="23"/>
    </row>
    <row r="9" customFormat="false" ht="15" hidden="false" customHeight="false" outlineLevel="0" collapsed="false">
      <c r="A9" s="44" t="s">
        <v>1792</v>
      </c>
      <c r="B9" s="45" t="n">
        <v>481</v>
      </c>
      <c r="C9" s="23"/>
    </row>
    <row r="10" customFormat="false" ht="15" hidden="false" customHeight="false" outlineLevel="0" collapsed="false">
      <c r="A10" s="46"/>
      <c r="B10" s="46"/>
    </row>
    <row r="11" customFormat="false" ht="15" hidden="false" customHeight="false" outlineLevel="0" collapsed="false">
      <c r="A11" s="46"/>
      <c r="B11" s="46"/>
    </row>
    <row r="12" customFormat="false" ht="15" hidden="false" customHeight="false" outlineLevel="0" collapsed="false">
      <c r="A12" s="46"/>
      <c r="B12" s="46"/>
    </row>
    <row r="13" customFormat="false" ht="15" hidden="false" customHeight="false" outlineLevel="0" collapsed="false">
      <c r="A13" s="46"/>
      <c r="B13" s="46"/>
    </row>
    <row r="14" customFormat="false" ht="15" hidden="false" customHeight="false" outlineLevel="0" collapsed="false">
      <c r="A14" s="46"/>
      <c r="B14" s="46"/>
    </row>
    <row r="15" customFormat="false" ht="15" hidden="false" customHeight="false" outlineLevel="0" collapsed="false">
      <c r="A15" s="46"/>
      <c r="B15" s="46"/>
    </row>
    <row r="16" customFormat="false" ht="15" hidden="false" customHeight="false" outlineLevel="0" collapsed="false">
      <c r="A16" s="46"/>
      <c r="B16" s="46"/>
    </row>
    <row r="17" customFormat="false" ht="15" hidden="false" customHeight="false" outlineLevel="0" collapsed="false">
      <c r="A17" s="46"/>
      <c r="B17" s="46"/>
    </row>
    <row r="18" customFormat="false" ht="15" hidden="false" customHeight="false" outlineLevel="0" collapsed="false">
      <c r="A18" s="46"/>
      <c r="B18" s="46"/>
    </row>
    <row r="19" customFormat="false" ht="15" hidden="false" customHeight="false" outlineLevel="0" collapsed="false">
      <c r="A19" s="46"/>
      <c r="B19" s="46"/>
    </row>
    <row r="20" customFormat="false" ht="15" hidden="false" customHeight="false" outlineLevel="0" collapsed="false">
      <c r="A20" s="46"/>
      <c r="B20" s="46"/>
    </row>
    <row r="21" customFormat="false" ht="15" hidden="false" customHeight="false" outlineLevel="0" collapsed="false">
      <c r="A21" s="46"/>
      <c r="B21" s="46"/>
    </row>
    <row r="22" customFormat="false" ht="15" hidden="false" customHeight="false" outlineLevel="0" collapsed="false">
      <c r="A22" s="46"/>
      <c r="B22" s="46"/>
    </row>
    <row r="23" customFormat="false" ht="15" hidden="false" customHeight="false" outlineLevel="0" collapsed="false">
      <c r="A23" s="46"/>
      <c r="B23" s="46"/>
    </row>
    <row r="24" customFormat="false" ht="15" hidden="false" customHeight="false" outlineLevel="0" collapsed="false">
      <c r="A24" s="46"/>
      <c r="B24" s="46"/>
    </row>
    <row r="25" customFormat="false" ht="15" hidden="false" customHeight="false" outlineLevel="0" collapsed="false">
      <c r="A25" s="46"/>
      <c r="B25" s="46"/>
    </row>
    <row r="26" customFormat="false" ht="15" hidden="false" customHeight="false" outlineLevel="0" collapsed="false">
      <c r="A26" s="46"/>
      <c r="B26" s="46"/>
    </row>
    <row r="27" customFormat="false" ht="15" hidden="false" customHeight="false" outlineLevel="0" collapsed="false">
      <c r="A27" s="46"/>
      <c r="B27" s="46"/>
    </row>
    <row r="28" customFormat="false" ht="15" hidden="false" customHeight="false" outlineLevel="0" collapsed="false">
      <c r="A28" s="46"/>
      <c r="B28" s="46"/>
    </row>
    <row r="29" customFormat="false" ht="15" hidden="false" customHeight="false" outlineLevel="0" collapsed="false">
      <c r="A29" s="46"/>
      <c r="B29" s="46"/>
    </row>
    <row r="30" customFormat="false" ht="15" hidden="false" customHeight="false" outlineLevel="0" collapsed="false">
      <c r="A30" s="46"/>
      <c r="B30" s="46"/>
    </row>
    <row r="31" customFormat="false" ht="15" hidden="false" customHeight="false" outlineLevel="0" collapsed="false">
      <c r="A31" s="46"/>
      <c r="B31" s="46"/>
    </row>
    <row r="32" customFormat="false" ht="15" hidden="false" customHeight="false" outlineLevel="0" collapsed="false">
      <c r="A32" s="46"/>
      <c r="B32" s="46"/>
    </row>
    <row r="33" customFormat="false" ht="15" hidden="false" customHeight="false" outlineLevel="0" collapsed="false">
      <c r="A33" s="46"/>
      <c r="B33" s="46"/>
    </row>
    <row r="34" customFormat="false" ht="15" hidden="false" customHeight="false" outlineLevel="0" collapsed="false">
      <c r="A34" s="46"/>
      <c r="B34" s="46"/>
    </row>
    <row r="35" customFormat="false" ht="15" hidden="false" customHeight="false" outlineLevel="0" collapsed="false">
      <c r="A35" s="46"/>
      <c r="B35" s="46"/>
    </row>
    <row r="36" customFormat="false" ht="15" hidden="false" customHeight="false" outlineLevel="0" collapsed="false">
      <c r="A36" s="46"/>
      <c r="B36" s="46"/>
    </row>
    <row r="37" customFormat="false" ht="15" hidden="false" customHeight="false" outlineLevel="0" collapsed="false">
      <c r="A37" s="46"/>
      <c r="B37" s="46"/>
    </row>
    <row r="38" customFormat="false" ht="15" hidden="false" customHeight="false" outlineLevel="0" collapsed="false">
      <c r="A38" s="46"/>
      <c r="B38" s="46"/>
    </row>
    <row r="39" customFormat="false" ht="15" hidden="false" customHeight="false" outlineLevel="0" collapsed="false">
      <c r="A39" s="46"/>
      <c r="B39" s="46"/>
    </row>
    <row r="40" customFormat="false" ht="15" hidden="false" customHeight="false" outlineLevel="0" collapsed="false">
      <c r="A40" s="46"/>
      <c r="B40" s="46"/>
    </row>
    <row r="41" customFormat="false" ht="15" hidden="false" customHeight="false" outlineLevel="0" collapsed="false">
      <c r="A41" s="46"/>
      <c r="B41" s="46"/>
    </row>
    <row r="42" customFormat="false" ht="15" hidden="false" customHeight="false" outlineLevel="0" collapsed="false">
      <c r="A42" s="46"/>
      <c r="B42" s="46"/>
    </row>
    <row r="43" customFormat="false" ht="15" hidden="false" customHeight="false" outlineLevel="0" collapsed="false">
      <c r="A43" s="46"/>
      <c r="B43" s="46"/>
    </row>
    <row r="44" customFormat="false" ht="15" hidden="false" customHeight="false" outlineLevel="0" collapsed="false">
      <c r="A44" s="46"/>
      <c r="B44" s="46"/>
    </row>
    <row r="45" customFormat="false" ht="15" hidden="false" customHeight="false" outlineLevel="0" collapsed="false">
      <c r="A45" s="46"/>
      <c r="B45" s="46"/>
    </row>
    <row r="46" customFormat="false" ht="15" hidden="false" customHeight="false" outlineLevel="0" collapsed="false">
      <c r="A46" s="46"/>
      <c r="B46" s="46"/>
    </row>
    <row r="47" customFormat="false" ht="15" hidden="false" customHeight="false" outlineLevel="0" collapsed="false">
      <c r="A47" s="46"/>
      <c r="B47" s="46"/>
    </row>
    <row r="48" customFormat="false" ht="15" hidden="false" customHeight="false" outlineLevel="0" collapsed="false">
      <c r="A48" s="46"/>
      <c r="B48" s="46"/>
    </row>
    <row r="49" customFormat="false" ht="15" hidden="false" customHeight="false" outlineLevel="0" collapsed="false">
      <c r="A49" s="46"/>
      <c r="B49" s="46"/>
    </row>
    <row r="50" customFormat="false" ht="15" hidden="false" customHeight="false" outlineLevel="0" collapsed="false">
      <c r="A50" s="46"/>
      <c r="B50" s="46"/>
    </row>
    <row r="51" customFormat="false" ht="15" hidden="false" customHeight="false" outlineLevel="0" collapsed="false">
      <c r="A51" s="46"/>
      <c r="B51" s="46"/>
    </row>
    <row r="52" customFormat="false" ht="15" hidden="false" customHeight="false" outlineLevel="0" collapsed="false">
      <c r="A52" s="46"/>
      <c r="B52" s="46"/>
    </row>
    <row r="53" customFormat="false" ht="15" hidden="false" customHeight="false" outlineLevel="0" collapsed="false">
      <c r="A53" s="46"/>
      <c r="B53" s="46"/>
    </row>
    <row r="54" customFormat="false" ht="15" hidden="false" customHeight="false" outlineLevel="0" collapsed="false">
      <c r="A54" s="46"/>
      <c r="B54" s="46"/>
    </row>
    <row r="55" customFormat="false" ht="15" hidden="false" customHeight="false" outlineLevel="0" collapsed="false">
      <c r="A55" s="46"/>
      <c r="B55" s="46"/>
    </row>
    <row r="56" customFormat="false" ht="15" hidden="false" customHeight="false" outlineLevel="0" collapsed="false">
      <c r="A56" s="46"/>
      <c r="B56" s="46"/>
    </row>
    <row r="57" customFormat="false" ht="15" hidden="false" customHeight="false" outlineLevel="0" collapsed="false">
      <c r="A57" s="46"/>
      <c r="B57" s="46"/>
    </row>
    <row r="58" customFormat="false" ht="15" hidden="false" customHeight="false" outlineLevel="0" collapsed="false">
      <c r="A58" s="46"/>
      <c r="B58" s="46"/>
    </row>
    <row r="59" customFormat="false" ht="15" hidden="false" customHeight="false" outlineLevel="0" collapsed="false">
      <c r="A59" s="46"/>
      <c r="B59" s="46"/>
    </row>
    <row r="60" customFormat="false" ht="15" hidden="false" customHeight="false" outlineLevel="0" collapsed="false">
      <c r="A60" s="46"/>
      <c r="B60" s="46"/>
    </row>
    <row r="61" customFormat="false" ht="15" hidden="false" customHeight="false" outlineLevel="0" collapsed="false">
      <c r="A61" s="46"/>
      <c r="B61" s="46"/>
    </row>
    <row r="62" customFormat="false" ht="15" hidden="false" customHeight="false" outlineLevel="0" collapsed="false">
      <c r="A62" s="46"/>
      <c r="B62" s="46"/>
    </row>
    <row r="63" customFormat="false" ht="15" hidden="false" customHeight="false" outlineLevel="0" collapsed="false">
      <c r="A63" s="46"/>
      <c r="B63" s="46"/>
    </row>
    <row r="64" customFormat="false" ht="15" hidden="false" customHeight="false" outlineLevel="0" collapsed="false">
      <c r="A64" s="46"/>
      <c r="B64" s="46"/>
    </row>
    <row r="65" customFormat="false" ht="15" hidden="false" customHeight="false" outlineLevel="0" collapsed="false">
      <c r="A65" s="46"/>
      <c r="B65" s="46"/>
    </row>
    <row r="66" customFormat="false" ht="15" hidden="false" customHeight="false" outlineLevel="0" collapsed="false">
      <c r="A66" s="46"/>
      <c r="B66" s="46"/>
    </row>
    <row r="67" customFormat="false" ht="15" hidden="false" customHeight="false" outlineLevel="0" collapsed="false">
      <c r="A67" s="46"/>
      <c r="B67" s="46"/>
    </row>
    <row r="68" customFormat="false" ht="15" hidden="false" customHeight="false" outlineLevel="0" collapsed="false">
      <c r="A68" s="46"/>
      <c r="B68" s="46"/>
    </row>
    <row r="69" customFormat="false" ht="15" hidden="false" customHeight="false" outlineLevel="0" collapsed="false">
      <c r="A69" s="46"/>
      <c r="B69" s="46"/>
    </row>
    <row r="70" customFormat="false" ht="15" hidden="false" customHeight="false" outlineLevel="0" collapsed="false">
      <c r="A70" s="46"/>
      <c r="B70" s="46"/>
    </row>
    <row r="71" customFormat="false" ht="15" hidden="false" customHeight="false" outlineLevel="0" collapsed="false">
      <c r="A71" s="46"/>
      <c r="B71" s="46"/>
    </row>
    <row r="72" customFormat="false" ht="15" hidden="false" customHeight="false" outlineLevel="0" collapsed="false">
      <c r="A72" s="46"/>
      <c r="B72" s="46"/>
    </row>
    <row r="73" customFormat="false" ht="15" hidden="false" customHeight="false" outlineLevel="0" collapsed="false">
      <c r="A73" s="46"/>
      <c r="B73" s="46"/>
    </row>
    <row r="74" customFormat="false" ht="15" hidden="false" customHeight="false" outlineLevel="0" collapsed="false">
      <c r="A74" s="46"/>
      <c r="B74" s="46"/>
    </row>
    <row r="75" customFormat="false" ht="15" hidden="false" customHeight="false" outlineLevel="0" collapsed="false">
      <c r="A75" s="46"/>
      <c r="B75" s="46"/>
    </row>
    <row r="76" customFormat="false" ht="15" hidden="false" customHeight="false" outlineLevel="0" collapsed="false">
      <c r="A76" s="46"/>
      <c r="B76" s="46"/>
    </row>
    <row r="77" customFormat="false" ht="15" hidden="false" customHeight="false" outlineLevel="0" collapsed="false">
      <c r="A77" s="46"/>
      <c r="B77" s="46"/>
    </row>
    <row r="78" customFormat="false" ht="15" hidden="false" customHeight="false" outlineLevel="0" collapsed="false">
      <c r="A78" s="46"/>
      <c r="B78" s="46"/>
    </row>
    <row r="79" customFormat="false" ht="15" hidden="false" customHeight="false" outlineLevel="0" collapsed="false">
      <c r="A79" s="46"/>
      <c r="B79" s="46"/>
    </row>
    <row r="80" customFormat="false" ht="15" hidden="false" customHeight="false" outlineLevel="0" collapsed="false">
      <c r="A80" s="46"/>
      <c r="B80" s="46"/>
    </row>
    <row r="81" customFormat="false" ht="15" hidden="false" customHeight="false" outlineLevel="0" collapsed="false">
      <c r="A81" s="46"/>
      <c r="B81" s="46"/>
    </row>
    <row r="82" customFormat="false" ht="15" hidden="false" customHeight="false" outlineLevel="0" collapsed="false">
      <c r="A82" s="46"/>
      <c r="B82" s="46"/>
    </row>
    <row r="83" customFormat="false" ht="15" hidden="false" customHeight="false" outlineLevel="0" collapsed="false">
      <c r="A83" s="46"/>
      <c r="B83" s="46"/>
    </row>
    <row r="84" customFormat="false" ht="15" hidden="false" customHeight="false" outlineLevel="0" collapsed="false">
      <c r="A84" s="46"/>
      <c r="B84" s="46"/>
    </row>
    <row r="85" customFormat="false" ht="15" hidden="false" customHeight="false" outlineLevel="0" collapsed="false">
      <c r="A85" s="46"/>
      <c r="B85" s="46"/>
    </row>
    <row r="86" customFormat="false" ht="15" hidden="false" customHeight="false" outlineLevel="0" collapsed="false">
      <c r="A86" s="46"/>
      <c r="B86" s="46"/>
    </row>
    <row r="87" customFormat="false" ht="15" hidden="false" customHeight="false" outlineLevel="0" collapsed="false">
      <c r="A87" s="46"/>
      <c r="B87" s="46"/>
    </row>
    <row r="88" customFormat="false" ht="15" hidden="false" customHeight="false" outlineLevel="0" collapsed="false">
      <c r="A88" s="46"/>
      <c r="B88" s="46"/>
    </row>
    <row r="89" customFormat="false" ht="15" hidden="false" customHeight="false" outlineLevel="0" collapsed="false">
      <c r="A89" s="46"/>
      <c r="B89" s="46"/>
    </row>
    <row r="90" customFormat="false" ht="15" hidden="false" customHeight="false" outlineLevel="0" collapsed="false">
      <c r="A90" s="46"/>
      <c r="B90" s="46"/>
    </row>
    <row r="91" customFormat="false" ht="15" hidden="false" customHeight="false" outlineLevel="0" collapsed="false">
      <c r="A91" s="46"/>
      <c r="B91" s="46"/>
    </row>
    <row r="92" customFormat="false" ht="15" hidden="false" customHeight="false" outlineLevel="0" collapsed="false">
      <c r="A92" s="46"/>
      <c r="B92" s="46"/>
    </row>
    <row r="93" customFormat="false" ht="15" hidden="false" customHeight="false" outlineLevel="0" collapsed="false">
      <c r="A93" s="46"/>
      <c r="B93" s="46"/>
    </row>
    <row r="94" customFormat="false" ht="15" hidden="false" customHeight="false" outlineLevel="0" collapsed="false">
      <c r="A94" s="46"/>
      <c r="B94" s="46"/>
    </row>
    <row r="95" customFormat="false" ht="15" hidden="false" customHeight="false" outlineLevel="0" collapsed="false">
      <c r="A95" s="46"/>
      <c r="B95" s="46"/>
    </row>
    <row r="96" customFormat="false" ht="15" hidden="false" customHeight="false" outlineLevel="0" collapsed="false">
      <c r="A96" s="46"/>
      <c r="B96" s="46"/>
    </row>
    <row r="97" customFormat="false" ht="15" hidden="false" customHeight="false" outlineLevel="0" collapsed="false">
      <c r="A97" s="46"/>
      <c r="B97" s="46"/>
    </row>
    <row r="98" customFormat="false" ht="15" hidden="false" customHeight="false" outlineLevel="0" collapsed="false">
      <c r="A98" s="46"/>
      <c r="B98" s="46"/>
    </row>
    <row r="99" customFormat="false" ht="15" hidden="false" customHeight="false" outlineLevel="0" collapsed="false">
      <c r="A99" s="46"/>
      <c r="B99" s="46"/>
    </row>
    <row r="100" customFormat="false" ht="15" hidden="false" customHeight="false" outlineLevel="0" collapsed="false">
      <c r="A100" s="46"/>
      <c r="B100" s="46"/>
    </row>
    <row r="101" customFormat="false" ht="15" hidden="false" customHeight="false" outlineLevel="0" collapsed="false">
      <c r="A101" s="46"/>
      <c r="B101" s="46"/>
    </row>
    <row r="102" customFormat="false" ht="15" hidden="false" customHeight="false" outlineLevel="0" collapsed="false">
      <c r="A102" s="46"/>
      <c r="B102" s="46"/>
    </row>
    <row r="103" customFormat="false" ht="15" hidden="false" customHeight="false" outlineLevel="0" collapsed="false">
      <c r="A103" s="46"/>
      <c r="B103" s="46"/>
    </row>
    <row r="104" customFormat="false" ht="15" hidden="false" customHeight="false" outlineLevel="0" collapsed="false">
      <c r="A104" s="46"/>
      <c r="B104" s="46"/>
    </row>
    <row r="105" customFormat="false" ht="15" hidden="false" customHeight="false" outlineLevel="0" collapsed="false">
      <c r="A105" s="46"/>
      <c r="B105" s="46"/>
    </row>
    <row r="106" customFormat="false" ht="15" hidden="false" customHeight="false" outlineLevel="0" collapsed="false">
      <c r="A106" s="46"/>
      <c r="B106" s="46"/>
    </row>
    <row r="107" customFormat="false" ht="15" hidden="false" customHeight="false" outlineLevel="0" collapsed="false">
      <c r="A107" s="46"/>
      <c r="B107" s="46"/>
    </row>
    <row r="108" customFormat="false" ht="15" hidden="false" customHeight="false" outlineLevel="0" collapsed="false">
      <c r="A108" s="46"/>
      <c r="B108" s="46"/>
    </row>
    <row r="109" customFormat="false" ht="15" hidden="false" customHeight="false" outlineLevel="0" collapsed="false">
      <c r="A109" s="46"/>
      <c r="B109" s="46"/>
    </row>
    <row r="110" customFormat="false" ht="15" hidden="false" customHeight="false" outlineLevel="0" collapsed="false">
      <c r="A110" s="46"/>
      <c r="B110" s="46"/>
    </row>
    <row r="111" customFormat="false" ht="15" hidden="false" customHeight="false" outlineLevel="0" collapsed="false">
      <c r="A111" s="46"/>
      <c r="B111" s="46"/>
    </row>
    <row r="112" customFormat="false" ht="15" hidden="false" customHeight="false" outlineLevel="0" collapsed="false">
      <c r="A112" s="46"/>
      <c r="B112" s="46"/>
    </row>
    <row r="113" customFormat="false" ht="15" hidden="false" customHeight="false" outlineLevel="0" collapsed="false">
      <c r="A113" s="46"/>
      <c r="B113" s="46"/>
    </row>
    <row r="114" customFormat="false" ht="15" hidden="false" customHeight="false" outlineLevel="0" collapsed="false">
      <c r="A114" s="46"/>
      <c r="B114" s="46"/>
    </row>
    <row r="115" customFormat="false" ht="15" hidden="false" customHeight="false" outlineLevel="0" collapsed="false">
      <c r="A115" s="46"/>
      <c r="B115" s="46"/>
    </row>
    <row r="116" customFormat="false" ht="15" hidden="false" customHeight="false" outlineLevel="0" collapsed="false">
      <c r="A116" s="46"/>
      <c r="B116" s="46"/>
    </row>
    <row r="117" customFormat="false" ht="15" hidden="false" customHeight="false" outlineLevel="0" collapsed="false">
      <c r="A117" s="46"/>
      <c r="B117" s="46"/>
    </row>
    <row r="118" customFormat="false" ht="15" hidden="false" customHeight="false" outlineLevel="0" collapsed="false">
      <c r="A118" s="46"/>
      <c r="B118" s="46"/>
    </row>
    <row r="119" customFormat="false" ht="15" hidden="false" customHeight="false" outlineLevel="0" collapsed="false">
      <c r="A119" s="46"/>
      <c r="B119" s="46"/>
    </row>
    <row r="120" customFormat="false" ht="15" hidden="false" customHeight="false" outlineLevel="0" collapsed="false">
      <c r="A120" s="46"/>
      <c r="B120" s="46"/>
    </row>
    <row r="121" customFormat="false" ht="15" hidden="false" customHeight="false" outlineLevel="0" collapsed="false">
      <c r="A121" s="46"/>
      <c r="B121" s="46"/>
    </row>
    <row r="122" customFormat="false" ht="15" hidden="false" customHeight="false" outlineLevel="0" collapsed="false">
      <c r="A122" s="46"/>
      <c r="B122" s="46"/>
    </row>
    <row r="123" customFormat="false" ht="15" hidden="false" customHeight="false" outlineLevel="0" collapsed="false">
      <c r="A123" s="46"/>
      <c r="B123" s="46"/>
    </row>
    <row r="124" customFormat="false" ht="15" hidden="false" customHeight="false" outlineLevel="0" collapsed="false">
      <c r="A124" s="46"/>
      <c r="B124" s="46"/>
    </row>
    <row r="125" customFormat="false" ht="15" hidden="false" customHeight="false" outlineLevel="0" collapsed="false">
      <c r="A125" s="46"/>
      <c r="B125" s="46"/>
    </row>
    <row r="126" customFormat="false" ht="15" hidden="false" customHeight="false" outlineLevel="0" collapsed="false">
      <c r="A126" s="46"/>
      <c r="B126" s="46"/>
    </row>
    <row r="127" customFormat="false" ht="15" hidden="false" customHeight="false" outlineLevel="0" collapsed="false">
      <c r="A127" s="46"/>
      <c r="B127" s="46"/>
    </row>
    <row r="128" customFormat="false" ht="15" hidden="false" customHeight="false" outlineLevel="0" collapsed="false">
      <c r="A128" s="46"/>
      <c r="B128" s="46"/>
    </row>
    <row r="129" customFormat="false" ht="15" hidden="false" customHeight="false" outlineLevel="0" collapsed="false">
      <c r="A129" s="46"/>
      <c r="B129" s="46"/>
    </row>
    <row r="130" customFormat="false" ht="15" hidden="false" customHeight="false" outlineLevel="0" collapsed="false">
      <c r="A130" s="46"/>
      <c r="B130" s="46"/>
    </row>
    <row r="131" customFormat="false" ht="15" hidden="false" customHeight="false" outlineLevel="0" collapsed="false">
      <c r="A131" s="46"/>
      <c r="B131" s="46"/>
    </row>
    <row r="132" customFormat="false" ht="15" hidden="false" customHeight="false" outlineLevel="0" collapsed="false">
      <c r="A132" s="46"/>
      <c r="B132" s="46"/>
    </row>
    <row r="133" customFormat="false" ht="15" hidden="false" customHeight="false" outlineLevel="0" collapsed="false">
      <c r="A133" s="46"/>
      <c r="B133" s="46"/>
    </row>
    <row r="134" customFormat="false" ht="15" hidden="false" customHeight="false" outlineLevel="0" collapsed="false">
      <c r="A134" s="46"/>
      <c r="B134" s="46"/>
    </row>
    <row r="135" customFormat="false" ht="15" hidden="false" customHeight="false" outlineLevel="0" collapsed="false">
      <c r="A135" s="46"/>
      <c r="B135" s="46"/>
    </row>
    <row r="136" customFormat="false" ht="15" hidden="false" customHeight="false" outlineLevel="0" collapsed="false">
      <c r="A136" s="46"/>
      <c r="B136" s="46"/>
    </row>
    <row r="137" customFormat="false" ht="15" hidden="false" customHeight="false" outlineLevel="0" collapsed="false">
      <c r="A137" s="46"/>
      <c r="B137" s="46"/>
    </row>
    <row r="138" customFormat="false" ht="15" hidden="false" customHeight="false" outlineLevel="0" collapsed="false">
      <c r="A138" s="46"/>
      <c r="B138" s="46"/>
    </row>
    <row r="139" customFormat="false" ht="15" hidden="false" customHeight="false" outlineLevel="0" collapsed="false">
      <c r="A139" s="46"/>
      <c r="B139" s="46"/>
    </row>
    <row r="140" customFormat="false" ht="15" hidden="false" customHeight="false" outlineLevel="0" collapsed="false">
      <c r="A140" s="46"/>
      <c r="B140" s="46"/>
    </row>
    <row r="141" customFormat="false" ht="15" hidden="false" customHeight="false" outlineLevel="0" collapsed="false">
      <c r="A141" s="46"/>
      <c r="B141" s="46"/>
    </row>
    <row r="142" customFormat="false" ht="15" hidden="false" customHeight="false" outlineLevel="0" collapsed="false">
      <c r="A142" s="46"/>
      <c r="B142" s="46"/>
    </row>
    <row r="143" customFormat="false" ht="15" hidden="false" customHeight="false" outlineLevel="0" collapsed="false">
      <c r="A143" s="46"/>
      <c r="B143" s="46"/>
    </row>
    <row r="144" customFormat="false" ht="15" hidden="false" customHeight="false" outlineLevel="0" collapsed="false">
      <c r="A144" s="46"/>
      <c r="B144" s="46"/>
    </row>
    <row r="145" customFormat="false" ht="15" hidden="false" customHeight="false" outlineLevel="0" collapsed="false">
      <c r="A145" s="46"/>
      <c r="B145" s="46"/>
    </row>
    <row r="146" customFormat="false" ht="15" hidden="false" customHeight="false" outlineLevel="0" collapsed="false">
      <c r="A146" s="46"/>
      <c r="B146" s="46"/>
    </row>
    <row r="147" customFormat="false" ht="15" hidden="false" customHeight="false" outlineLevel="0" collapsed="false">
      <c r="A147" s="46"/>
      <c r="B147" s="46"/>
    </row>
    <row r="148" customFormat="false" ht="15" hidden="false" customHeight="false" outlineLevel="0" collapsed="false">
      <c r="A148" s="46"/>
      <c r="B148" s="46"/>
    </row>
    <row r="149" customFormat="false" ht="15" hidden="false" customHeight="false" outlineLevel="0" collapsed="false">
      <c r="A149" s="46"/>
      <c r="B149" s="46"/>
    </row>
    <row r="150" customFormat="false" ht="15" hidden="false" customHeight="false" outlineLevel="0" collapsed="false">
      <c r="A150" s="46"/>
      <c r="B150" s="46"/>
    </row>
    <row r="151" customFormat="false" ht="15" hidden="false" customHeight="false" outlineLevel="0" collapsed="false">
      <c r="A151" s="46"/>
      <c r="B151" s="46"/>
    </row>
    <row r="152" customFormat="false" ht="15" hidden="false" customHeight="false" outlineLevel="0" collapsed="false">
      <c r="A152" s="46"/>
      <c r="B152" s="46"/>
    </row>
    <row r="153" customFormat="false" ht="15" hidden="false" customHeight="false" outlineLevel="0" collapsed="false">
      <c r="A153" s="46"/>
      <c r="B153" s="46"/>
    </row>
    <row r="154" customFormat="false" ht="15" hidden="false" customHeight="false" outlineLevel="0" collapsed="false">
      <c r="A154" s="46"/>
      <c r="B154" s="46"/>
    </row>
    <row r="155" customFormat="false" ht="15" hidden="false" customHeight="false" outlineLevel="0" collapsed="false">
      <c r="A155" s="46"/>
      <c r="B155" s="46"/>
    </row>
    <row r="156" customFormat="false" ht="15" hidden="false" customHeight="false" outlineLevel="0" collapsed="false">
      <c r="A156" s="46"/>
      <c r="B156" s="46"/>
    </row>
    <row r="157" customFormat="false" ht="15" hidden="false" customHeight="false" outlineLevel="0" collapsed="false">
      <c r="A157" s="46"/>
      <c r="B157" s="46"/>
    </row>
    <row r="158" customFormat="false" ht="15" hidden="false" customHeight="false" outlineLevel="0" collapsed="false">
      <c r="A158" s="46"/>
      <c r="B158" s="46"/>
    </row>
    <row r="159" customFormat="false" ht="15" hidden="false" customHeight="false" outlineLevel="0" collapsed="false">
      <c r="A159" s="46"/>
      <c r="B159" s="46"/>
    </row>
    <row r="160" customFormat="false" ht="15" hidden="false" customHeight="false" outlineLevel="0" collapsed="false">
      <c r="A160" s="46"/>
      <c r="B160" s="46"/>
    </row>
    <row r="161" customFormat="false" ht="15" hidden="false" customHeight="false" outlineLevel="0" collapsed="false">
      <c r="A161" s="46"/>
      <c r="B161" s="46"/>
    </row>
    <row r="162" customFormat="false" ht="15" hidden="false" customHeight="false" outlineLevel="0" collapsed="false">
      <c r="A162" s="46"/>
      <c r="B162" s="46"/>
    </row>
    <row r="163" customFormat="false" ht="15" hidden="false" customHeight="false" outlineLevel="0" collapsed="false">
      <c r="A163" s="46"/>
      <c r="B163" s="46"/>
    </row>
    <row r="164" customFormat="false" ht="15" hidden="false" customHeight="false" outlineLevel="0" collapsed="false">
      <c r="A164" s="46"/>
      <c r="B164" s="46"/>
    </row>
    <row r="165" customFormat="false" ht="15" hidden="false" customHeight="false" outlineLevel="0" collapsed="false">
      <c r="A165" s="46"/>
      <c r="B165" s="46"/>
    </row>
    <row r="166" customFormat="false" ht="15" hidden="false" customHeight="false" outlineLevel="0" collapsed="false">
      <c r="A166" s="46"/>
      <c r="B166" s="46"/>
    </row>
    <row r="167" customFormat="false" ht="15" hidden="false" customHeight="false" outlineLevel="0" collapsed="false">
      <c r="A167" s="46"/>
      <c r="B167" s="46"/>
    </row>
    <row r="168" customFormat="false" ht="15" hidden="false" customHeight="false" outlineLevel="0" collapsed="false">
      <c r="A168" s="46"/>
      <c r="B168" s="46"/>
    </row>
    <row r="169" customFormat="false" ht="15" hidden="false" customHeight="false" outlineLevel="0" collapsed="false">
      <c r="A169" s="46"/>
      <c r="B169" s="46"/>
    </row>
    <row r="170" customFormat="false" ht="15" hidden="false" customHeight="false" outlineLevel="0" collapsed="false">
      <c r="A170" s="46"/>
      <c r="B170" s="46"/>
    </row>
    <row r="171" customFormat="false" ht="15" hidden="false" customHeight="false" outlineLevel="0" collapsed="false">
      <c r="A171" s="46"/>
      <c r="B171" s="46"/>
    </row>
    <row r="172" customFormat="false" ht="15" hidden="false" customHeight="false" outlineLevel="0" collapsed="false">
      <c r="A172" s="46"/>
      <c r="B172" s="46"/>
    </row>
    <row r="173" customFormat="false" ht="15" hidden="false" customHeight="false" outlineLevel="0" collapsed="false">
      <c r="A173" s="46"/>
      <c r="B173" s="46"/>
    </row>
    <row r="174" customFormat="false" ht="15" hidden="false" customHeight="false" outlineLevel="0" collapsed="false">
      <c r="A174" s="46"/>
      <c r="B174" s="46"/>
    </row>
    <row r="175" customFormat="false" ht="15" hidden="false" customHeight="false" outlineLevel="0" collapsed="false">
      <c r="A175" s="46"/>
      <c r="B175" s="46"/>
    </row>
    <row r="176" customFormat="false" ht="15" hidden="false" customHeight="false" outlineLevel="0" collapsed="false">
      <c r="A176" s="46"/>
      <c r="B176" s="46"/>
    </row>
    <row r="177" customFormat="false" ht="15" hidden="false" customHeight="false" outlineLevel="0" collapsed="false">
      <c r="A177" s="46"/>
      <c r="B177" s="46"/>
    </row>
    <row r="178" customFormat="false" ht="15" hidden="false" customHeight="false" outlineLevel="0" collapsed="false">
      <c r="A178" s="46"/>
      <c r="B178" s="46"/>
    </row>
    <row r="179" customFormat="false" ht="15" hidden="false" customHeight="false" outlineLevel="0" collapsed="false">
      <c r="A179" s="46"/>
      <c r="B179" s="46"/>
    </row>
    <row r="180" customFormat="false" ht="15" hidden="false" customHeight="false" outlineLevel="0" collapsed="false">
      <c r="A180" s="46"/>
      <c r="B180" s="46"/>
    </row>
    <row r="181" customFormat="false" ht="15" hidden="false" customHeight="false" outlineLevel="0" collapsed="false">
      <c r="A181" s="46"/>
      <c r="B181" s="46"/>
    </row>
    <row r="182" customFormat="false" ht="15" hidden="false" customHeight="false" outlineLevel="0" collapsed="false">
      <c r="A182" s="46"/>
      <c r="B182" s="46"/>
    </row>
    <row r="183" customFormat="false" ht="15" hidden="false" customHeight="false" outlineLevel="0" collapsed="false">
      <c r="A183" s="46"/>
      <c r="B183" s="46"/>
    </row>
    <row r="184" customFormat="false" ht="15" hidden="false" customHeight="false" outlineLevel="0" collapsed="false">
      <c r="A184" s="46"/>
      <c r="B184" s="46"/>
    </row>
    <row r="185" customFormat="false" ht="15" hidden="false" customHeight="false" outlineLevel="0" collapsed="false">
      <c r="A185" s="46"/>
      <c r="B185" s="46"/>
    </row>
    <row r="186" customFormat="false" ht="15" hidden="false" customHeight="false" outlineLevel="0" collapsed="false">
      <c r="A186" s="46"/>
      <c r="B186" s="46"/>
    </row>
    <row r="187" customFormat="false" ht="15" hidden="false" customHeight="false" outlineLevel="0" collapsed="false">
      <c r="A187" s="46"/>
      <c r="B187" s="46"/>
    </row>
    <row r="188" customFormat="false" ht="15" hidden="false" customHeight="false" outlineLevel="0" collapsed="false">
      <c r="A188" s="46"/>
      <c r="B188" s="46"/>
    </row>
    <row r="189" customFormat="false" ht="15" hidden="false" customHeight="false" outlineLevel="0" collapsed="false">
      <c r="A189" s="46"/>
      <c r="B189" s="46"/>
    </row>
    <row r="190" customFormat="false" ht="15" hidden="false" customHeight="false" outlineLevel="0" collapsed="false">
      <c r="A190" s="46"/>
      <c r="B190" s="46"/>
    </row>
    <row r="191" customFormat="false" ht="15" hidden="false" customHeight="false" outlineLevel="0" collapsed="false">
      <c r="A191" s="46"/>
      <c r="B191" s="46"/>
    </row>
    <row r="192" customFormat="false" ht="15" hidden="false" customHeight="false" outlineLevel="0" collapsed="false">
      <c r="A192" s="46"/>
      <c r="B192" s="46"/>
    </row>
    <row r="193" customFormat="false" ht="15" hidden="false" customHeight="false" outlineLevel="0" collapsed="false">
      <c r="A193" s="46"/>
      <c r="B193" s="46"/>
    </row>
    <row r="194" customFormat="false" ht="15" hidden="false" customHeight="false" outlineLevel="0" collapsed="false">
      <c r="A194" s="46"/>
      <c r="B194" s="46"/>
    </row>
    <row r="195" customFormat="false" ht="15" hidden="false" customHeight="false" outlineLevel="0" collapsed="false">
      <c r="A195" s="46"/>
      <c r="B195" s="46"/>
    </row>
    <row r="196" customFormat="false" ht="15" hidden="false" customHeight="false" outlineLevel="0" collapsed="false">
      <c r="A196" s="46"/>
      <c r="B196" s="46"/>
    </row>
    <row r="197" customFormat="false" ht="15" hidden="false" customHeight="false" outlineLevel="0" collapsed="false">
      <c r="A197" s="46"/>
      <c r="B197" s="46"/>
    </row>
    <row r="198" customFormat="false" ht="15" hidden="false" customHeight="false" outlineLevel="0" collapsed="false">
      <c r="A198" s="46"/>
      <c r="B198" s="46"/>
    </row>
    <row r="199" customFormat="false" ht="15" hidden="false" customHeight="false" outlineLevel="0" collapsed="false">
      <c r="A199" s="46"/>
      <c r="B199" s="46"/>
    </row>
    <row r="200" customFormat="false" ht="15" hidden="false" customHeight="false" outlineLevel="0" collapsed="false">
      <c r="A200" s="46"/>
      <c r="B200" s="46"/>
    </row>
    <row r="201" customFormat="false" ht="15" hidden="false" customHeight="false" outlineLevel="0" collapsed="false">
      <c r="A201" s="46"/>
      <c r="B201" s="46"/>
    </row>
    <row r="202" customFormat="false" ht="15" hidden="false" customHeight="false" outlineLevel="0" collapsed="false">
      <c r="A202" s="46"/>
      <c r="B202" s="46"/>
    </row>
    <row r="203" customFormat="false" ht="15" hidden="false" customHeight="false" outlineLevel="0" collapsed="false">
      <c r="A203" s="46"/>
      <c r="B203" s="46"/>
    </row>
    <row r="204" customFormat="false" ht="15" hidden="false" customHeight="false" outlineLevel="0" collapsed="false">
      <c r="A204" s="46"/>
      <c r="B204" s="46"/>
    </row>
    <row r="205" customFormat="false" ht="15" hidden="false" customHeight="false" outlineLevel="0" collapsed="false">
      <c r="A205" s="46"/>
      <c r="B205" s="46"/>
    </row>
    <row r="206" customFormat="false" ht="15" hidden="false" customHeight="false" outlineLevel="0" collapsed="false">
      <c r="A206" s="46"/>
      <c r="B206" s="46"/>
    </row>
    <row r="207" customFormat="false" ht="15" hidden="false" customHeight="false" outlineLevel="0" collapsed="false">
      <c r="A207" s="46"/>
      <c r="B207" s="46"/>
    </row>
    <row r="208" customFormat="false" ht="15" hidden="false" customHeight="false" outlineLevel="0" collapsed="false">
      <c r="A208" s="46"/>
      <c r="B208" s="46"/>
    </row>
    <row r="209" customFormat="false" ht="15" hidden="false" customHeight="false" outlineLevel="0" collapsed="false">
      <c r="A209" s="46"/>
      <c r="B209" s="46"/>
    </row>
    <row r="210" customFormat="false" ht="15" hidden="false" customHeight="false" outlineLevel="0" collapsed="false">
      <c r="A210" s="46"/>
      <c r="B210" s="46"/>
    </row>
    <row r="211" customFormat="false" ht="15" hidden="false" customHeight="false" outlineLevel="0" collapsed="false">
      <c r="A211" s="46"/>
      <c r="B211" s="46"/>
    </row>
    <row r="212" customFormat="false" ht="15" hidden="false" customHeight="false" outlineLevel="0" collapsed="false">
      <c r="A212" s="46"/>
      <c r="B212" s="46"/>
    </row>
    <row r="213" customFormat="false" ht="15" hidden="false" customHeight="false" outlineLevel="0" collapsed="false">
      <c r="A213" s="46"/>
      <c r="B213" s="46"/>
    </row>
    <row r="214" customFormat="false" ht="15" hidden="false" customHeight="false" outlineLevel="0" collapsed="false">
      <c r="A214" s="46"/>
      <c r="B214" s="46"/>
    </row>
    <row r="215" customFormat="false" ht="15" hidden="false" customHeight="false" outlineLevel="0" collapsed="false">
      <c r="A215" s="46"/>
      <c r="B215" s="46"/>
    </row>
    <row r="216" customFormat="false" ht="15" hidden="false" customHeight="false" outlineLevel="0" collapsed="false">
      <c r="A216" s="46"/>
      <c r="B216" s="46"/>
    </row>
    <row r="217" customFormat="false" ht="15" hidden="false" customHeight="false" outlineLevel="0" collapsed="false">
      <c r="A217" s="46"/>
      <c r="B217" s="46"/>
    </row>
    <row r="218" customFormat="false" ht="15" hidden="false" customHeight="false" outlineLevel="0" collapsed="false">
      <c r="A218" s="46"/>
      <c r="B218" s="46"/>
    </row>
    <row r="219" customFormat="false" ht="15" hidden="false" customHeight="false" outlineLevel="0" collapsed="false">
      <c r="A219" s="46"/>
      <c r="B219" s="46"/>
    </row>
    <row r="220" customFormat="false" ht="15" hidden="false" customHeight="false" outlineLevel="0" collapsed="false">
      <c r="A220" s="46"/>
      <c r="B220" s="46"/>
    </row>
    <row r="221" customFormat="false" ht="15" hidden="false" customHeight="false" outlineLevel="0" collapsed="false">
      <c r="A221" s="46"/>
      <c r="B221" s="46"/>
    </row>
    <row r="222" customFormat="false" ht="15" hidden="false" customHeight="false" outlineLevel="0" collapsed="false">
      <c r="A222" s="46"/>
      <c r="B222" s="46"/>
    </row>
    <row r="223" customFormat="false" ht="15" hidden="false" customHeight="false" outlineLevel="0" collapsed="false">
      <c r="A223" s="46"/>
      <c r="B223" s="46"/>
    </row>
    <row r="224" customFormat="false" ht="15" hidden="false" customHeight="false" outlineLevel="0" collapsed="false">
      <c r="A224" s="46"/>
      <c r="B224" s="46"/>
    </row>
    <row r="225" customFormat="false" ht="15" hidden="false" customHeight="false" outlineLevel="0" collapsed="false">
      <c r="A225" s="46"/>
      <c r="B225" s="46"/>
    </row>
    <row r="226" customFormat="false" ht="15" hidden="false" customHeight="false" outlineLevel="0" collapsed="false">
      <c r="A226" s="46"/>
      <c r="B226" s="46"/>
    </row>
    <row r="227" customFormat="false" ht="15" hidden="false" customHeight="false" outlineLevel="0" collapsed="false">
      <c r="A227" s="46"/>
      <c r="B227" s="46"/>
    </row>
    <row r="228" customFormat="false" ht="15" hidden="false" customHeight="false" outlineLevel="0" collapsed="false">
      <c r="A228" s="46"/>
      <c r="B228" s="46"/>
    </row>
    <row r="229" customFormat="false" ht="15" hidden="false" customHeight="false" outlineLevel="0" collapsed="false">
      <c r="A229" s="46"/>
      <c r="B229" s="46"/>
    </row>
    <row r="230" customFormat="false" ht="15" hidden="false" customHeight="false" outlineLevel="0" collapsed="false">
      <c r="A230" s="46"/>
      <c r="B230" s="46"/>
    </row>
    <row r="231" customFormat="false" ht="15" hidden="false" customHeight="false" outlineLevel="0" collapsed="false">
      <c r="A231" s="46"/>
      <c r="B231" s="46"/>
    </row>
    <row r="232" customFormat="false" ht="15" hidden="false" customHeight="false" outlineLevel="0" collapsed="false">
      <c r="A232" s="46"/>
      <c r="B232" s="46"/>
    </row>
    <row r="233" customFormat="false" ht="15" hidden="false" customHeight="false" outlineLevel="0" collapsed="false">
      <c r="A233" s="46"/>
      <c r="B233" s="46"/>
    </row>
    <row r="234" customFormat="false" ht="15" hidden="false" customHeight="false" outlineLevel="0" collapsed="false">
      <c r="A234" s="46"/>
      <c r="B234" s="46"/>
    </row>
    <row r="235" customFormat="false" ht="15" hidden="false" customHeight="false" outlineLevel="0" collapsed="false">
      <c r="A235" s="46"/>
      <c r="B235" s="46"/>
    </row>
    <row r="236" customFormat="false" ht="15" hidden="false" customHeight="false" outlineLevel="0" collapsed="false">
      <c r="A236" s="46"/>
      <c r="B236" s="46"/>
    </row>
    <row r="237" customFormat="false" ht="15" hidden="false" customHeight="false" outlineLevel="0" collapsed="false">
      <c r="A237" s="46"/>
      <c r="B237" s="46"/>
    </row>
    <row r="238" customFormat="false" ht="15" hidden="false" customHeight="false" outlineLevel="0" collapsed="false">
      <c r="A238" s="46"/>
      <c r="B238" s="46"/>
    </row>
    <row r="239" customFormat="false" ht="15" hidden="false" customHeight="false" outlineLevel="0" collapsed="false">
      <c r="A239" s="46"/>
      <c r="B239" s="46"/>
    </row>
    <row r="240" customFormat="false" ht="15" hidden="false" customHeight="false" outlineLevel="0" collapsed="false">
      <c r="A240" s="46"/>
      <c r="B240" s="46"/>
    </row>
    <row r="241" customFormat="false" ht="15" hidden="false" customHeight="false" outlineLevel="0" collapsed="false">
      <c r="A241" s="46"/>
      <c r="B241" s="46"/>
    </row>
    <row r="242" customFormat="false" ht="15" hidden="false" customHeight="false" outlineLevel="0" collapsed="false">
      <c r="A242" s="46"/>
      <c r="B242" s="46"/>
    </row>
    <row r="243" customFormat="false" ht="15" hidden="false" customHeight="false" outlineLevel="0" collapsed="false">
      <c r="A243" s="46"/>
      <c r="B243" s="46"/>
    </row>
    <row r="244" customFormat="false" ht="15" hidden="false" customHeight="false" outlineLevel="0" collapsed="false">
      <c r="A244" s="46"/>
      <c r="B244" s="46"/>
    </row>
    <row r="245" customFormat="false" ht="15" hidden="false" customHeight="false" outlineLevel="0" collapsed="false">
      <c r="A245" s="46"/>
      <c r="B245" s="46"/>
    </row>
    <row r="246" customFormat="false" ht="15" hidden="false" customHeight="false" outlineLevel="0" collapsed="false">
      <c r="A246" s="46"/>
      <c r="B246" s="46"/>
    </row>
    <row r="247" customFormat="false" ht="15" hidden="false" customHeight="false" outlineLevel="0" collapsed="false">
      <c r="A247" s="46"/>
      <c r="B247" s="46"/>
    </row>
    <row r="248" customFormat="false" ht="15" hidden="false" customHeight="false" outlineLevel="0" collapsed="false">
      <c r="A248" s="46"/>
      <c r="B248" s="46"/>
    </row>
    <row r="249" customFormat="false" ht="15" hidden="false" customHeight="false" outlineLevel="0" collapsed="false">
      <c r="A249" s="46"/>
      <c r="B249" s="46"/>
    </row>
    <row r="250" customFormat="false" ht="15" hidden="false" customHeight="false" outlineLevel="0" collapsed="false">
      <c r="A250" s="46"/>
      <c r="B250" s="46"/>
    </row>
    <row r="251" customFormat="false" ht="15" hidden="false" customHeight="false" outlineLevel="0" collapsed="false">
      <c r="A251" s="46"/>
      <c r="B251" s="46"/>
    </row>
    <row r="252" customFormat="false" ht="15" hidden="false" customHeight="false" outlineLevel="0" collapsed="false">
      <c r="A252" s="46"/>
      <c r="B252" s="46"/>
    </row>
    <row r="253" customFormat="false" ht="15" hidden="false" customHeight="false" outlineLevel="0" collapsed="false">
      <c r="A253" s="46"/>
      <c r="B253" s="46"/>
    </row>
    <row r="254" customFormat="false" ht="15" hidden="false" customHeight="false" outlineLevel="0" collapsed="false">
      <c r="A254" s="46"/>
      <c r="B254" s="46"/>
    </row>
    <row r="255" customFormat="false" ht="15" hidden="false" customHeight="false" outlineLevel="0" collapsed="false">
      <c r="A255" s="46"/>
      <c r="B255" s="46"/>
    </row>
    <row r="256" customFormat="false" ht="15" hidden="false" customHeight="false" outlineLevel="0" collapsed="false">
      <c r="A256" s="46"/>
      <c r="B256" s="46"/>
    </row>
    <row r="257" customFormat="false" ht="15" hidden="false" customHeight="false" outlineLevel="0" collapsed="false">
      <c r="A257" s="46"/>
      <c r="B257" s="46"/>
    </row>
    <row r="258" customFormat="false" ht="15" hidden="false" customHeight="false" outlineLevel="0" collapsed="false">
      <c r="A258" s="46"/>
      <c r="B258" s="46"/>
    </row>
    <row r="259" customFormat="false" ht="15" hidden="false" customHeight="false" outlineLevel="0" collapsed="false">
      <c r="A259" s="46"/>
      <c r="B259" s="46"/>
    </row>
    <row r="260" customFormat="false" ht="15" hidden="false" customHeight="false" outlineLevel="0" collapsed="false">
      <c r="A260" s="46"/>
      <c r="B260" s="46"/>
    </row>
    <row r="261" customFormat="false" ht="15" hidden="false" customHeight="false" outlineLevel="0" collapsed="false">
      <c r="A261" s="46"/>
      <c r="B261" s="46"/>
    </row>
    <row r="262" customFormat="false" ht="15" hidden="false" customHeight="false" outlineLevel="0" collapsed="false">
      <c r="A262" s="46"/>
      <c r="B262" s="46"/>
    </row>
    <row r="263" customFormat="false" ht="15" hidden="false" customHeight="false" outlineLevel="0" collapsed="false">
      <c r="A263" s="46"/>
      <c r="B263" s="46"/>
    </row>
    <row r="264" customFormat="false" ht="15" hidden="false" customHeight="false" outlineLevel="0" collapsed="false">
      <c r="A264" s="46"/>
      <c r="B264" s="46"/>
    </row>
    <row r="265" customFormat="false" ht="15" hidden="false" customHeight="false" outlineLevel="0" collapsed="false">
      <c r="A265" s="46"/>
      <c r="B265" s="46"/>
    </row>
    <row r="266" customFormat="false" ht="15" hidden="false" customHeight="false" outlineLevel="0" collapsed="false">
      <c r="A266" s="46"/>
      <c r="B266" s="46"/>
    </row>
    <row r="267" customFormat="false" ht="15" hidden="false" customHeight="false" outlineLevel="0" collapsed="false">
      <c r="A267" s="46"/>
      <c r="B267" s="46"/>
    </row>
    <row r="268" customFormat="false" ht="15" hidden="false" customHeight="false" outlineLevel="0" collapsed="false">
      <c r="A268" s="46"/>
      <c r="B268" s="46"/>
    </row>
    <row r="269" customFormat="false" ht="15" hidden="false" customHeight="false" outlineLevel="0" collapsed="false">
      <c r="A269" s="46"/>
      <c r="B269" s="46"/>
    </row>
    <row r="270" customFormat="false" ht="15" hidden="false" customHeight="false" outlineLevel="0" collapsed="false">
      <c r="A270" s="46"/>
      <c r="B270" s="46"/>
    </row>
    <row r="271" customFormat="false" ht="15" hidden="false" customHeight="false" outlineLevel="0" collapsed="false">
      <c r="A271" s="46"/>
      <c r="B271" s="46"/>
    </row>
    <row r="272" customFormat="false" ht="15" hidden="false" customHeight="false" outlineLevel="0" collapsed="false">
      <c r="A272" s="46"/>
      <c r="B272" s="46"/>
    </row>
    <row r="273" customFormat="false" ht="15" hidden="false" customHeight="false" outlineLevel="0" collapsed="false">
      <c r="A273" s="46"/>
      <c r="B273" s="46"/>
    </row>
    <row r="274" customFormat="false" ht="15" hidden="false" customHeight="false" outlineLevel="0" collapsed="false">
      <c r="A274" s="46"/>
      <c r="B274" s="46"/>
    </row>
    <row r="275" customFormat="false" ht="15" hidden="false" customHeight="false" outlineLevel="0" collapsed="false">
      <c r="A275" s="46"/>
      <c r="B275" s="46"/>
    </row>
    <row r="276" customFormat="false" ht="15" hidden="false" customHeight="false" outlineLevel="0" collapsed="false">
      <c r="A276" s="46"/>
      <c r="B276" s="46"/>
    </row>
    <row r="277" customFormat="false" ht="15" hidden="false" customHeight="false" outlineLevel="0" collapsed="false">
      <c r="A277" s="46"/>
      <c r="B277" s="46"/>
    </row>
    <row r="278" customFormat="false" ht="15" hidden="false" customHeight="false" outlineLevel="0" collapsed="false">
      <c r="A278" s="46"/>
      <c r="B278" s="46"/>
    </row>
    <row r="279" customFormat="false" ht="15" hidden="false" customHeight="false" outlineLevel="0" collapsed="false">
      <c r="A279" s="46"/>
      <c r="B279" s="46"/>
    </row>
    <row r="280" customFormat="false" ht="15" hidden="false" customHeight="false" outlineLevel="0" collapsed="false">
      <c r="A280" s="46"/>
      <c r="B280" s="46"/>
    </row>
    <row r="281" customFormat="false" ht="15" hidden="false" customHeight="false" outlineLevel="0" collapsed="false">
      <c r="A281" s="46"/>
      <c r="B281" s="46"/>
    </row>
    <row r="282" customFormat="false" ht="15" hidden="false" customHeight="false" outlineLevel="0" collapsed="false">
      <c r="A282" s="46"/>
      <c r="B282" s="46"/>
    </row>
    <row r="283" customFormat="false" ht="15" hidden="false" customHeight="false" outlineLevel="0" collapsed="false">
      <c r="A283" s="46"/>
      <c r="B283" s="46"/>
    </row>
    <row r="284" customFormat="false" ht="15" hidden="false" customHeight="false" outlineLevel="0" collapsed="false">
      <c r="A284" s="46"/>
      <c r="B284" s="46"/>
    </row>
    <row r="285" customFormat="false" ht="15" hidden="false" customHeight="false" outlineLevel="0" collapsed="false">
      <c r="A285" s="46"/>
      <c r="B285" s="46"/>
    </row>
    <row r="286" customFormat="false" ht="15" hidden="false" customHeight="false" outlineLevel="0" collapsed="false">
      <c r="A286" s="46"/>
      <c r="B286" s="46"/>
    </row>
    <row r="287" customFormat="false" ht="15" hidden="false" customHeight="false" outlineLevel="0" collapsed="false">
      <c r="A287" s="46"/>
      <c r="B287" s="46"/>
    </row>
    <row r="288" customFormat="false" ht="15" hidden="false" customHeight="false" outlineLevel="0" collapsed="false">
      <c r="A288" s="46"/>
      <c r="B288" s="46"/>
    </row>
    <row r="289" customFormat="false" ht="15" hidden="false" customHeight="false" outlineLevel="0" collapsed="false">
      <c r="A289" s="46"/>
      <c r="B289" s="46"/>
    </row>
    <row r="290" customFormat="false" ht="15" hidden="false" customHeight="false" outlineLevel="0" collapsed="false">
      <c r="A290" s="46"/>
      <c r="B290" s="46"/>
    </row>
    <row r="291" customFormat="false" ht="15" hidden="false" customHeight="false" outlineLevel="0" collapsed="false">
      <c r="A291" s="46"/>
      <c r="B291" s="46"/>
    </row>
    <row r="292" customFormat="false" ht="15" hidden="false" customHeight="false" outlineLevel="0" collapsed="false">
      <c r="A292" s="46"/>
      <c r="B292" s="46"/>
    </row>
    <row r="293" customFormat="false" ht="15" hidden="false" customHeight="false" outlineLevel="0" collapsed="false">
      <c r="A293" s="46"/>
      <c r="B293" s="46"/>
    </row>
    <row r="294" customFormat="false" ht="15" hidden="false" customHeight="false" outlineLevel="0" collapsed="false">
      <c r="A294" s="46"/>
      <c r="B294" s="46"/>
    </row>
    <row r="295" customFormat="false" ht="15" hidden="false" customHeight="false" outlineLevel="0" collapsed="false">
      <c r="A295" s="46"/>
      <c r="B295" s="46"/>
    </row>
    <row r="296" customFormat="false" ht="15" hidden="false" customHeight="false" outlineLevel="0" collapsed="false">
      <c r="A296" s="46"/>
      <c r="B296" s="46"/>
    </row>
    <row r="297" customFormat="false" ht="15" hidden="false" customHeight="false" outlineLevel="0" collapsed="false">
      <c r="A297" s="46"/>
      <c r="B297" s="46"/>
    </row>
    <row r="298" customFormat="false" ht="15" hidden="false" customHeight="false" outlineLevel="0" collapsed="false">
      <c r="A298" s="46"/>
      <c r="B298" s="46"/>
    </row>
    <row r="299" customFormat="false" ht="15" hidden="false" customHeight="false" outlineLevel="0" collapsed="false">
      <c r="A299" s="46"/>
      <c r="B299" s="46"/>
    </row>
    <row r="300" customFormat="false" ht="15" hidden="false" customHeight="false" outlineLevel="0" collapsed="false">
      <c r="A300" s="46"/>
      <c r="B300" s="46"/>
    </row>
    <row r="301" customFormat="false" ht="15" hidden="false" customHeight="false" outlineLevel="0" collapsed="false">
      <c r="A301" s="46"/>
      <c r="B301" s="46"/>
    </row>
    <row r="302" customFormat="false" ht="15" hidden="false" customHeight="false" outlineLevel="0" collapsed="false">
      <c r="A302" s="46"/>
      <c r="B302" s="46"/>
    </row>
    <row r="303" customFormat="false" ht="15" hidden="false" customHeight="false" outlineLevel="0" collapsed="false">
      <c r="A303" s="46"/>
      <c r="B303" s="46"/>
    </row>
    <row r="304" customFormat="false" ht="15" hidden="false" customHeight="false" outlineLevel="0" collapsed="false">
      <c r="A304" s="46"/>
      <c r="B304" s="46"/>
    </row>
    <row r="305" customFormat="false" ht="15" hidden="false" customHeight="false" outlineLevel="0" collapsed="false">
      <c r="A305" s="46"/>
      <c r="B305" s="46"/>
    </row>
    <row r="306" customFormat="false" ht="15" hidden="false" customHeight="false" outlineLevel="0" collapsed="false">
      <c r="A306" s="46"/>
      <c r="B306" s="46"/>
    </row>
    <row r="307" customFormat="false" ht="15" hidden="false" customHeight="false" outlineLevel="0" collapsed="false">
      <c r="A307" s="46"/>
      <c r="B307" s="46"/>
    </row>
    <row r="308" customFormat="false" ht="15" hidden="false" customHeight="false" outlineLevel="0" collapsed="false">
      <c r="A308" s="46"/>
      <c r="B308" s="46"/>
    </row>
    <row r="309" customFormat="false" ht="15" hidden="false" customHeight="false" outlineLevel="0" collapsed="false">
      <c r="A309" s="46"/>
      <c r="B309" s="46"/>
    </row>
    <row r="310" customFormat="false" ht="15" hidden="false" customHeight="false" outlineLevel="0" collapsed="false">
      <c r="A310" s="46"/>
      <c r="B310" s="46"/>
    </row>
    <row r="311" customFormat="false" ht="15" hidden="false" customHeight="false" outlineLevel="0" collapsed="false">
      <c r="A311" s="46"/>
      <c r="B311" s="46"/>
    </row>
    <row r="312" customFormat="false" ht="15" hidden="false" customHeight="false" outlineLevel="0" collapsed="false">
      <c r="A312" s="46"/>
      <c r="B312" s="46"/>
    </row>
    <row r="313" customFormat="false" ht="15" hidden="false" customHeight="false" outlineLevel="0" collapsed="false">
      <c r="A313" s="46"/>
      <c r="B313" s="46"/>
    </row>
    <row r="314" customFormat="false" ht="15" hidden="false" customHeight="false" outlineLevel="0" collapsed="false">
      <c r="A314" s="46"/>
      <c r="B314" s="46"/>
    </row>
    <row r="315" customFormat="false" ht="15" hidden="false" customHeight="false" outlineLevel="0" collapsed="false">
      <c r="A315" s="46"/>
      <c r="B315" s="46"/>
    </row>
    <row r="316" customFormat="false" ht="15" hidden="false" customHeight="false" outlineLevel="0" collapsed="false">
      <c r="A316" s="46"/>
      <c r="B316" s="46"/>
    </row>
    <row r="317" customFormat="false" ht="15" hidden="false" customHeight="false" outlineLevel="0" collapsed="false">
      <c r="A317" s="46"/>
      <c r="B317" s="46"/>
    </row>
    <row r="318" customFormat="false" ht="15" hidden="false" customHeight="false" outlineLevel="0" collapsed="false">
      <c r="A318" s="46"/>
      <c r="B318" s="46"/>
    </row>
    <row r="319" customFormat="false" ht="15" hidden="false" customHeight="false" outlineLevel="0" collapsed="false">
      <c r="A319" s="46"/>
      <c r="B319" s="46"/>
    </row>
    <row r="320" customFormat="false" ht="15" hidden="false" customHeight="false" outlineLevel="0" collapsed="false">
      <c r="A320" s="46"/>
      <c r="B320" s="46"/>
    </row>
    <row r="321" customFormat="false" ht="15" hidden="false" customHeight="false" outlineLevel="0" collapsed="false">
      <c r="A321" s="46"/>
      <c r="B321" s="46"/>
    </row>
    <row r="322" customFormat="false" ht="15" hidden="false" customHeight="false" outlineLevel="0" collapsed="false">
      <c r="A322" s="46"/>
      <c r="B322" s="46"/>
    </row>
    <row r="323" customFormat="false" ht="15" hidden="false" customHeight="false" outlineLevel="0" collapsed="false">
      <c r="A323" s="46"/>
      <c r="B323" s="46"/>
    </row>
    <row r="324" customFormat="false" ht="15" hidden="false" customHeight="false" outlineLevel="0" collapsed="false">
      <c r="A324" s="46"/>
      <c r="B324" s="46"/>
    </row>
    <row r="325" customFormat="false" ht="15" hidden="false" customHeight="false" outlineLevel="0" collapsed="false">
      <c r="A325" s="46"/>
      <c r="B325" s="46"/>
    </row>
    <row r="326" customFormat="false" ht="15" hidden="false" customHeight="false" outlineLevel="0" collapsed="false">
      <c r="A326" s="46"/>
      <c r="B326" s="46"/>
    </row>
    <row r="327" customFormat="false" ht="15" hidden="false" customHeight="false" outlineLevel="0" collapsed="false">
      <c r="A327" s="46"/>
      <c r="B327" s="46"/>
    </row>
    <row r="328" customFormat="false" ht="15" hidden="false" customHeight="false" outlineLevel="0" collapsed="false">
      <c r="A328" s="46"/>
      <c r="B328" s="46"/>
    </row>
    <row r="329" customFormat="false" ht="15" hidden="false" customHeight="false" outlineLevel="0" collapsed="false">
      <c r="A329" s="46"/>
      <c r="B329" s="46"/>
    </row>
    <row r="330" customFormat="false" ht="15" hidden="false" customHeight="false" outlineLevel="0" collapsed="false">
      <c r="A330" s="46"/>
      <c r="B330" s="46"/>
    </row>
    <row r="331" customFormat="false" ht="15" hidden="false" customHeight="false" outlineLevel="0" collapsed="false">
      <c r="A331" s="46"/>
      <c r="B331" s="46"/>
    </row>
    <row r="332" customFormat="false" ht="15" hidden="false" customHeight="false" outlineLevel="0" collapsed="false">
      <c r="A332" s="46"/>
      <c r="B332" s="46"/>
    </row>
    <row r="333" customFormat="false" ht="15" hidden="false" customHeight="false" outlineLevel="0" collapsed="false">
      <c r="A333" s="46"/>
      <c r="B333" s="46"/>
    </row>
    <row r="334" customFormat="false" ht="15" hidden="false" customHeight="false" outlineLevel="0" collapsed="false">
      <c r="A334" s="46"/>
      <c r="B334" s="46"/>
    </row>
    <row r="335" customFormat="false" ht="15" hidden="false" customHeight="false" outlineLevel="0" collapsed="false">
      <c r="A335" s="46"/>
      <c r="B335" s="46"/>
    </row>
    <row r="336" customFormat="false" ht="15" hidden="false" customHeight="false" outlineLevel="0" collapsed="false">
      <c r="A336" s="46"/>
      <c r="B336" s="46"/>
    </row>
    <row r="337" customFormat="false" ht="15" hidden="false" customHeight="false" outlineLevel="0" collapsed="false">
      <c r="A337" s="46"/>
      <c r="B337" s="46"/>
    </row>
    <row r="338" customFormat="false" ht="15" hidden="false" customHeight="false" outlineLevel="0" collapsed="false">
      <c r="A338" s="46"/>
      <c r="B338" s="46"/>
    </row>
    <row r="339" customFormat="false" ht="15" hidden="false" customHeight="false" outlineLevel="0" collapsed="false">
      <c r="A339" s="46"/>
      <c r="B339" s="46"/>
    </row>
    <row r="340" customFormat="false" ht="15" hidden="false" customHeight="false" outlineLevel="0" collapsed="false">
      <c r="A340" s="46"/>
      <c r="B340" s="46"/>
    </row>
    <row r="341" customFormat="false" ht="15" hidden="false" customHeight="false" outlineLevel="0" collapsed="false">
      <c r="A341" s="46"/>
      <c r="B341" s="46"/>
    </row>
    <row r="342" customFormat="false" ht="15" hidden="false" customHeight="false" outlineLevel="0" collapsed="false">
      <c r="A342" s="46"/>
      <c r="B342" s="46"/>
    </row>
    <row r="343" customFormat="false" ht="15" hidden="false" customHeight="false" outlineLevel="0" collapsed="false">
      <c r="A343" s="46"/>
      <c r="B343" s="46"/>
    </row>
    <row r="344" customFormat="false" ht="15" hidden="false" customHeight="false" outlineLevel="0" collapsed="false">
      <c r="A344" s="46"/>
      <c r="B344" s="46"/>
    </row>
    <row r="345" customFormat="false" ht="15" hidden="false" customHeight="false" outlineLevel="0" collapsed="false">
      <c r="A345" s="46"/>
      <c r="B345" s="46"/>
    </row>
    <row r="346" customFormat="false" ht="15" hidden="false" customHeight="false" outlineLevel="0" collapsed="false">
      <c r="A346" s="46"/>
      <c r="B346" s="46"/>
    </row>
    <row r="347" customFormat="false" ht="15" hidden="false" customHeight="false" outlineLevel="0" collapsed="false">
      <c r="A347" s="46"/>
      <c r="B347" s="46"/>
    </row>
    <row r="348" customFormat="false" ht="15" hidden="false" customHeight="false" outlineLevel="0" collapsed="false">
      <c r="A348" s="46"/>
      <c r="B348" s="46"/>
    </row>
    <row r="349" customFormat="false" ht="15" hidden="false" customHeight="false" outlineLevel="0" collapsed="false">
      <c r="A349" s="46"/>
      <c r="B349" s="46"/>
    </row>
    <row r="350" customFormat="false" ht="15" hidden="false" customHeight="false" outlineLevel="0" collapsed="false">
      <c r="A350" s="46"/>
      <c r="B350" s="46"/>
    </row>
    <row r="351" customFormat="false" ht="15" hidden="false" customHeight="false" outlineLevel="0" collapsed="false">
      <c r="A351" s="46"/>
      <c r="B351" s="46"/>
    </row>
    <row r="352" customFormat="false" ht="15" hidden="false" customHeight="false" outlineLevel="0" collapsed="false">
      <c r="A352" s="46"/>
      <c r="B352" s="46"/>
    </row>
    <row r="353" customFormat="false" ht="15" hidden="false" customHeight="false" outlineLevel="0" collapsed="false">
      <c r="A353" s="46"/>
      <c r="B353" s="46"/>
    </row>
    <row r="354" customFormat="false" ht="15" hidden="false" customHeight="false" outlineLevel="0" collapsed="false">
      <c r="A354" s="46"/>
      <c r="B354" s="46"/>
    </row>
    <row r="355" customFormat="false" ht="15" hidden="false" customHeight="false" outlineLevel="0" collapsed="false">
      <c r="A355" s="46"/>
      <c r="B355" s="46"/>
    </row>
    <row r="356" customFormat="false" ht="15" hidden="false" customHeight="false" outlineLevel="0" collapsed="false">
      <c r="A356" s="46"/>
      <c r="B356" s="46"/>
    </row>
    <row r="357" customFormat="false" ht="15" hidden="false" customHeight="false" outlineLevel="0" collapsed="false">
      <c r="A357" s="46"/>
      <c r="B357" s="46"/>
    </row>
    <row r="358" customFormat="false" ht="15" hidden="false" customHeight="false" outlineLevel="0" collapsed="false">
      <c r="A358" s="46"/>
      <c r="B358" s="46"/>
    </row>
    <row r="359" customFormat="false" ht="15" hidden="false" customHeight="false" outlineLevel="0" collapsed="false">
      <c r="A359" s="46"/>
      <c r="B359" s="46"/>
    </row>
    <row r="360" customFormat="false" ht="15" hidden="false" customHeight="false" outlineLevel="0" collapsed="false">
      <c r="A360" s="46"/>
      <c r="B360" s="46"/>
    </row>
    <row r="361" customFormat="false" ht="15" hidden="false" customHeight="false" outlineLevel="0" collapsed="false">
      <c r="A361" s="46"/>
      <c r="B361" s="46"/>
    </row>
    <row r="362" customFormat="false" ht="15" hidden="false" customHeight="false" outlineLevel="0" collapsed="false">
      <c r="A362" s="46"/>
      <c r="B362" s="46"/>
    </row>
    <row r="363" customFormat="false" ht="15" hidden="false" customHeight="false" outlineLevel="0" collapsed="false">
      <c r="A363" s="46"/>
      <c r="B363" s="46"/>
    </row>
    <row r="364" customFormat="false" ht="15" hidden="false" customHeight="false" outlineLevel="0" collapsed="false">
      <c r="A364" s="46"/>
      <c r="B364" s="46"/>
    </row>
    <row r="365" customFormat="false" ht="15" hidden="false" customHeight="false" outlineLevel="0" collapsed="false">
      <c r="A365" s="46"/>
      <c r="B365" s="46"/>
    </row>
    <row r="366" customFormat="false" ht="15" hidden="false" customHeight="false" outlineLevel="0" collapsed="false">
      <c r="A366" s="46"/>
      <c r="B366" s="46"/>
    </row>
    <row r="367" customFormat="false" ht="15" hidden="false" customHeight="false" outlineLevel="0" collapsed="false">
      <c r="A367" s="46"/>
      <c r="B367" s="46"/>
    </row>
    <row r="368" customFormat="false" ht="15" hidden="false" customHeight="false" outlineLevel="0" collapsed="false">
      <c r="A368" s="46"/>
      <c r="B368" s="46"/>
    </row>
    <row r="369" customFormat="false" ht="15" hidden="false" customHeight="false" outlineLevel="0" collapsed="false">
      <c r="A369" s="46"/>
      <c r="B369" s="46"/>
    </row>
    <row r="370" customFormat="false" ht="15" hidden="false" customHeight="false" outlineLevel="0" collapsed="false">
      <c r="A370" s="46"/>
      <c r="B370" s="46"/>
    </row>
    <row r="371" customFormat="false" ht="15" hidden="false" customHeight="false" outlineLevel="0" collapsed="false">
      <c r="A371" s="46"/>
      <c r="B371" s="46"/>
    </row>
    <row r="372" customFormat="false" ht="15" hidden="false" customHeight="false" outlineLevel="0" collapsed="false">
      <c r="A372" s="46"/>
      <c r="B372" s="46"/>
    </row>
    <row r="373" customFormat="false" ht="15" hidden="false" customHeight="false" outlineLevel="0" collapsed="false">
      <c r="A373" s="46"/>
      <c r="B373" s="46"/>
    </row>
    <row r="374" customFormat="false" ht="15" hidden="false" customHeight="false" outlineLevel="0" collapsed="false">
      <c r="A374" s="46"/>
      <c r="B374" s="46"/>
    </row>
    <row r="375" customFormat="false" ht="15" hidden="false" customHeight="false" outlineLevel="0" collapsed="false">
      <c r="A375" s="46"/>
      <c r="B375" s="46"/>
    </row>
    <row r="376" customFormat="false" ht="15" hidden="false" customHeight="false" outlineLevel="0" collapsed="false">
      <c r="A376" s="46"/>
      <c r="B376" s="46"/>
    </row>
    <row r="377" customFormat="false" ht="15" hidden="false" customHeight="false" outlineLevel="0" collapsed="false">
      <c r="A377" s="46"/>
      <c r="B377" s="46"/>
    </row>
    <row r="378" customFormat="false" ht="15" hidden="false" customHeight="false" outlineLevel="0" collapsed="false">
      <c r="A378" s="46"/>
      <c r="B378" s="46"/>
    </row>
    <row r="379" customFormat="false" ht="15" hidden="false" customHeight="false" outlineLevel="0" collapsed="false">
      <c r="A379" s="46"/>
      <c r="B379" s="46"/>
    </row>
    <row r="380" customFormat="false" ht="15" hidden="false" customHeight="false" outlineLevel="0" collapsed="false">
      <c r="A380" s="46"/>
      <c r="B380" s="46"/>
    </row>
    <row r="381" customFormat="false" ht="15" hidden="false" customHeight="false" outlineLevel="0" collapsed="false">
      <c r="A381" s="46"/>
      <c r="B381" s="46"/>
    </row>
    <row r="382" customFormat="false" ht="15" hidden="false" customHeight="false" outlineLevel="0" collapsed="false">
      <c r="A382" s="46"/>
      <c r="B382" s="46"/>
    </row>
    <row r="383" customFormat="false" ht="15" hidden="false" customHeight="false" outlineLevel="0" collapsed="false">
      <c r="A383" s="46"/>
      <c r="B383" s="46"/>
    </row>
    <row r="384" customFormat="false" ht="15" hidden="false" customHeight="false" outlineLevel="0" collapsed="false">
      <c r="A384" s="46"/>
      <c r="B384" s="46"/>
    </row>
    <row r="385" customFormat="false" ht="15" hidden="false" customHeight="false" outlineLevel="0" collapsed="false"/>
    <row r="386" customFormat="false" ht="15" hidden="false" customHeight="false" outlineLevel="0" collapsed="false"/>
    <row r="387" customFormat="false" ht="15" hidden="false" customHeight="false" outlineLevel="0" collapsed="false"/>
    <row r="388" customFormat="false" ht="15" hidden="false" customHeight="false" outlineLevel="0" collapsed="false"/>
    <row r="389" customFormat="false" ht="15" hidden="false" customHeight="false" outlineLevel="0" collapsed="false"/>
    <row r="390" customFormat="false" ht="15" hidden="false" customHeight="false" outlineLevel="0" collapsed="false"/>
    <row r="391" customFormat="false" ht="15" hidden="false" customHeight="false" outlineLevel="0" collapsed="false"/>
    <row r="392" customFormat="false" ht="15" hidden="false" customHeight="false" outlineLevel="0" collapsed="false"/>
    <row r="393" customFormat="false" ht="15" hidden="false" customHeight="false" outlineLevel="0" collapsed="false"/>
    <row r="394" customFormat="false" ht="15" hidden="false" customHeight="false" outlineLevel="0" collapsed="false"/>
    <row r="395" customFormat="false" ht="15" hidden="false" customHeight="false" outlineLevel="0" collapsed="false"/>
    <row r="396" customFormat="false" ht="15" hidden="false" customHeight="false" outlineLevel="0" collapsed="false"/>
    <row r="397" customFormat="false" ht="15" hidden="false" customHeight="false" outlineLevel="0" collapsed="false"/>
    <row r="398" customFormat="false" ht="15" hidden="false" customHeight="false" outlineLevel="0" collapsed="false"/>
    <row r="399" customFormat="false" ht="15" hidden="false" customHeight="false" outlineLevel="0" collapsed="false"/>
    <row r="400" customFormat="false" ht="15" hidden="false" customHeight="false" outlineLevel="0" collapsed="false"/>
    <row r="401" customFormat="false" ht="15" hidden="false" customHeight="false" outlineLevel="0" collapsed="false"/>
    <row r="402" customFormat="false" ht="15" hidden="false" customHeight="false" outlineLevel="0" collapsed="false"/>
    <row r="403" customFormat="false" ht="15" hidden="false" customHeight="false" outlineLevel="0" collapsed="false"/>
    <row r="404" customFormat="false" ht="15" hidden="false" customHeight="false" outlineLevel="0" collapsed="false"/>
    <row r="405" customFormat="false" ht="15" hidden="false" customHeight="false" outlineLevel="0" collapsed="false"/>
    <row r="406" customFormat="false" ht="15" hidden="false" customHeight="false" outlineLevel="0" collapsed="false"/>
    <row r="407" customFormat="false" ht="15" hidden="false" customHeight="false" outlineLevel="0" collapsed="false"/>
    <row r="408" customFormat="false" ht="15" hidden="false" customHeight="false" outlineLevel="0" collapsed="false"/>
    <row r="409" customFormat="false" ht="15" hidden="false" customHeight="false" outlineLevel="0" collapsed="false"/>
    <row r="410" customFormat="false" ht="15" hidden="false" customHeight="false" outlineLevel="0" collapsed="false"/>
    <row r="411" customFormat="false" ht="15" hidden="false" customHeight="false" outlineLevel="0" collapsed="false"/>
    <row r="412" customFormat="false" ht="15" hidden="false" customHeight="false" outlineLevel="0" collapsed="false"/>
    <row r="413" customFormat="false" ht="15" hidden="false" customHeight="false" outlineLevel="0" collapsed="false"/>
    <row r="414" customFormat="false" ht="15" hidden="false" customHeight="false" outlineLevel="0" collapsed="false"/>
    <row r="415" customFormat="false" ht="15" hidden="false" customHeight="false" outlineLevel="0" collapsed="false"/>
    <row r="416" customFormat="false" ht="15" hidden="false" customHeight="false" outlineLevel="0" collapsed="false"/>
    <row r="417" customFormat="false" ht="15" hidden="false" customHeight="false" outlineLevel="0" collapsed="false"/>
    <row r="418" customFormat="false" ht="15" hidden="false" customHeight="false" outlineLevel="0" collapsed="false"/>
    <row r="419" customFormat="false" ht="15" hidden="false" customHeight="false" outlineLevel="0" collapsed="false"/>
    <row r="420" customFormat="false" ht="15" hidden="false" customHeight="false" outlineLevel="0" collapsed="false"/>
    <row r="421" customFormat="false" ht="15" hidden="false" customHeight="false" outlineLevel="0" collapsed="false"/>
    <row r="422" customFormat="false" ht="15" hidden="false" customHeight="false" outlineLevel="0" collapsed="false"/>
    <row r="423" customFormat="false" ht="15" hidden="false" customHeight="false" outlineLevel="0" collapsed="false"/>
    <row r="424" customFormat="false" ht="15" hidden="false" customHeight="false" outlineLevel="0" collapsed="false"/>
    <row r="425" customFormat="false" ht="15" hidden="false" customHeight="false" outlineLevel="0" collapsed="false"/>
    <row r="426" customFormat="false" ht="15" hidden="false" customHeight="false" outlineLevel="0" collapsed="false"/>
    <row r="427" customFormat="false" ht="15" hidden="false" customHeight="false" outlineLevel="0" collapsed="false"/>
    <row r="428" customFormat="false" ht="15" hidden="false" customHeight="false" outlineLevel="0" collapsed="false"/>
    <row r="429" customFormat="false" ht="15" hidden="false" customHeight="false" outlineLevel="0" collapsed="false"/>
    <row r="430" customFormat="false" ht="15" hidden="false" customHeight="false" outlineLevel="0" collapsed="false"/>
    <row r="431" customFormat="false" ht="15" hidden="false" customHeight="false" outlineLevel="0" collapsed="false"/>
    <row r="432" customFormat="false" ht="15" hidden="false" customHeight="false" outlineLevel="0" collapsed="false"/>
    <row r="433" customFormat="false" ht="15" hidden="false" customHeight="false" outlineLevel="0" collapsed="false"/>
    <row r="434" customFormat="false" ht="15" hidden="false" customHeight="false" outlineLevel="0" collapsed="false"/>
    <row r="435" customFormat="false" ht="15" hidden="false" customHeight="false" outlineLevel="0" collapsed="false"/>
    <row r="436" customFormat="false" ht="15" hidden="false" customHeight="false" outlineLevel="0" collapsed="false"/>
    <row r="437" customFormat="false" ht="15" hidden="false" customHeight="false" outlineLevel="0" collapsed="false"/>
    <row r="438" customFormat="false" ht="15" hidden="false" customHeight="false" outlineLevel="0" collapsed="false"/>
    <row r="439" customFormat="false" ht="15" hidden="false" customHeight="false" outlineLevel="0" collapsed="false"/>
    <row r="440" customFormat="false" ht="15" hidden="false" customHeight="false" outlineLevel="0" collapsed="false"/>
    <row r="441" customFormat="false" ht="15" hidden="false" customHeight="false" outlineLevel="0" collapsed="false"/>
    <row r="442" customFormat="false" ht="15" hidden="false" customHeight="false" outlineLevel="0" collapsed="false"/>
    <row r="443" customFormat="false" ht="15" hidden="false" customHeight="false" outlineLevel="0" collapsed="false"/>
    <row r="444" customFormat="false" ht="15" hidden="false" customHeight="false" outlineLevel="0" collapsed="false"/>
    <row r="445" customFormat="false" ht="15" hidden="false" customHeight="false" outlineLevel="0" collapsed="false"/>
    <row r="446" customFormat="false" ht="15" hidden="false" customHeight="false" outlineLevel="0" collapsed="false"/>
    <row r="447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0.4921875" defaultRowHeight="15" customHeight="true" zeroHeight="false" outlineLevelRow="0" outlineLevelCol="0"/>
  <cols>
    <col collapsed="false" customWidth="true" hidden="false" outlineLevel="0" max="1" min="1" style="23" width="14.22"/>
    <col collapsed="false" customWidth="true" hidden="false" outlineLevel="0" max="2" min="2" style="23" width="15.6"/>
    <col collapsed="false" customWidth="true" hidden="false" outlineLevel="0" max="3" min="3" style="23" width="15.35"/>
    <col collapsed="false" customWidth="true" hidden="false" outlineLevel="0" max="4" min="4" style="23" width="12.31"/>
    <col collapsed="false" customWidth="true" hidden="false" outlineLevel="0" max="5" min="5" style="23" width="12.57"/>
    <col collapsed="false" customWidth="true" hidden="false" outlineLevel="0" max="6" min="6" style="23" width="17.12"/>
    <col collapsed="false" customWidth="true" hidden="false" outlineLevel="0" max="7" min="7" style="23" width="15.6"/>
    <col collapsed="false" customWidth="true" hidden="false" outlineLevel="0" max="8" min="8" style="23" width="17.51"/>
    <col collapsed="false" customWidth="true" hidden="false" outlineLevel="0" max="9" min="9" style="23" width="8.52"/>
    <col collapsed="false" customWidth="true" hidden="false" outlineLevel="0" max="10" min="10" style="23" width="12.44"/>
    <col collapsed="false" customWidth="true" hidden="false" outlineLevel="0" max="11" min="11" style="23" width="15.86"/>
    <col collapsed="false" customWidth="true" hidden="false" outlineLevel="0" max="12" min="12" style="23" width="14.72"/>
    <col collapsed="false" customWidth="true" hidden="false" outlineLevel="0" max="13" min="13" style="23" width="17.12"/>
    <col collapsed="false" customWidth="true" hidden="false" outlineLevel="0" max="14" min="14" style="23" width="17"/>
    <col collapsed="false" customWidth="true" hidden="false" outlineLevel="0" max="15" min="15" style="23" width="16.24"/>
    <col collapsed="false" customWidth="true" hidden="false" outlineLevel="0" max="16" min="16" style="23" width="11.3"/>
    <col collapsed="false" customWidth="true" hidden="false" outlineLevel="0" max="17" min="17" style="23" width="18.65"/>
    <col collapsed="false" customWidth="true" hidden="false" outlineLevel="0" max="18" min="18" style="23" width="19.91"/>
    <col collapsed="false" customWidth="true" hidden="false" outlineLevel="0" max="19" min="19" style="23" width="14.34"/>
    <col collapsed="false" customWidth="true" hidden="false" outlineLevel="0" max="20" min="20" style="23" width="30.16"/>
    <col collapsed="false" customWidth="true" hidden="false" outlineLevel="0" max="21" min="21" style="23" width="19.02"/>
    <col collapsed="false" customWidth="true" hidden="false" outlineLevel="0" max="22" min="22" style="23" width="12.57"/>
    <col collapsed="false" customWidth="true" hidden="false" outlineLevel="0" max="23" min="23" style="23" width="13.45"/>
    <col collapsed="false" customWidth="true" hidden="false" outlineLevel="0" max="24" min="24" style="23" width="11.92"/>
  </cols>
  <sheetData>
    <row r="1" customFormat="false" ht="15" hidden="false" customHeight="false" outlineLevel="0" collapsed="false">
      <c r="A1" s="47" t="s">
        <v>7</v>
      </c>
      <c r="B1" s="47" t="s">
        <v>8</v>
      </c>
      <c r="C1" s="47" t="s">
        <v>9</v>
      </c>
      <c r="D1" s="47" t="s">
        <v>10</v>
      </c>
      <c r="E1" s="47" t="s">
        <v>11</v>
      </c>
      <c r="F1" s="47" t="s">
        <v>12</v>
      </c>
      <c r="G1" s="47" t="s">
        <v>13</v>
      </c>
      <c r="H1" s="47" t="s">
        <v>14</v>
      </c>
      <c r="I1" s="47" t="s">
        <v>15</v>
      </c>
      <c r="J1" s="47" t="s">
        <v>16</v>
      </c>
      <c r="K1" s="47" t="s">
        <v>17</v>
      </c>
      <c r="L1" s="47" t="s">
        <v>18</v>
      </c>
      <c r="M1" s="47" t="s">
        <v>19</v>
      </c>
      <c r="N1" s="47" t="s">
        <v>20</v>
      </c>
      <c r="O1" s="47" t="s">
        <v>21</v>
      </c>
      <c r="P1" s="47" t="s">
        <v>22</v>
      </c>
      <c r="Q1" s="47" t="s">
        <v>23</v>
      </c>
      <c r="R1" s="47" t="s">
        <v>24</v>
      </c>
      <c r="S1" s="47" t="s">
        <v>25</v>
      </c>
      <c r="T1" s="47" t="s">
        <v>26</v>
      </c>
      <c r="U1" s="47" t="s">
        <v>27</v>
      </c>
      <c r="V1" s="47" t="s">
        <v>28</v>
      </c>
      <c r="W1" s="47" t="s">
        <v>29</v>
      </c>
      <c r="X1" s="47" t="s">
        <v>30</v>
      </c>
    </row>
    <row r="2" customFormat="false" ht="15" hidden="false" customHeight="false" outlineLevel="0" collapsed="false">
      <c r="A2" s="23" t="n">
        <v>37</v>
      </c>
      <c r="B2" s="23" t="s">
        <v>124</v>
      </c>
      <c r="C2" s="23" t="s">
        <v>224</v>
      </c>
      <c r="D2" s="23" t="s">
        <v>225</v>
      </c>
      <c r="E2" s="23" t="s">
        <v>226</v>
      </c>
      <c r="F2" s="23" t="s">
        <v>227</v>
      </c>
      <c r="G2" s="23" t="s">
        <v>124</v>
      </c>
      <c r="H2" s="23" t="s">
        <v>36</v>
      </c>
      <c r="I2" s="23" t="s">
        <v>37</v>
      </c>
      <c r="J2" s="23" t="s">
        <v>228</v>
      </c>
      <c r="K2" s="23" t="s">
        <v>135</v>
      </c>
      <c r="L2" s="23" t="n">
        <v>34700</v>
      </c>
      <c r="M2" s="23" t="n">
        <v>1992</v>
      </c>
      <c r="N2" s="23" t="n">
        <v>5</v>
      </c>
      <c r="O2" s="23" t="n">
        <v>7</v>
      </c>
      <c r="P2" s="23" t="n">
        <v>118.06</v>
      </c>
      <c r="Q2" s="24" t="n">
        <v>446314739528</v>
      </c>
      <c r="R2" s="23" t="n">
        <v>81.6</v>
      </c>
      <c r="S2" s="23" t="n">
        <v>25.4</v>
      </c>
      <c r="T2" s="23" t="n">
        <v>51.4</v>
      </c>
      <c r="U2" s="23" t="n">
        <v>8877067</v>
      </c>
      <c r="V2" s="48" t="n">
        <v>33.705021902378</v>
      </c>
      <c r="W2" s="26" t="n">
        <v>33731</v>
      </c>
      <c r="X2" s="26" t="n">
        <v>46042</v>
      </c>
    </row>
    <row r="3" customFormat="false" ht="15" hidden="false" customHeight="false" outlineLevel="0" collapsed="false">
      <c r="A3" s="23" t="n">
        <v>37</v>
      </c>
      <c r="B3" s="23" t="s">
        <v>124</v>
      </c>
      <c r="C3" s="23" t="s">
        <v>224</v>
      </c>
      <c r="D3" s="23" t="s">
        <v>225</v>
      </c>
      <c r="E3" s="23" t="s">
        <v>226</v>
      </c>
      <c r="F3" s="23" t="s">
        <v>227</v>
      </c>
      <c r="G3" s="23" t="s">
        <v>124</v>
      </c>
      <c r="H3" s="23" t="s">
        <v>36</v>
      </c>
      <c r="I3" s="23" t="s">
        <v>37</v>
      </c>
      <c r="J3" s="23" t="s">
        <v>228</v>
      </c>
      <c r="K3" s="23" t="s">
        <v>135</v>
      </c>
      <c r="L3" s="23" t="n">
        <v>34700</v>
      </c>
      <c r="M3" s="23" t="n">
        <v>1992</v>
      </c>
      <c r="N3" s="23" t="n">
        <v>5</v>
      </c>
      <c r="O3" s="23" t="n">
        <v>7</v>
      </c>
      <c r="P3" s="23" t="n">
        <v>118.06</v>
      </c>
      <c r="Q3" s="24" t="n">
        <v>446314739528</v>
      </c>
      <c r="R3" s="23" t="n">
        <v>81.6</v>
      </c>
      <c r="S3" s="23" t="n">
        <v>25.4</v>
      </c>
      <c r="T3" s="23" t="n">
        <v>51.4</v>
      </c>
      <c r="U3" s="23" t="n">
        <v>8877067</v>
      </c>
      <c r="V3" s="48" t="n">
        <v>33.705021902378</v>
      </c>
      <c r="W3" s="26" t="n">
        <v>33731</v>
      </c>
      <c r="X3" s="26" t="n">
        <v>46042</v>
      </c>
    </row>
    <row r="4" customFormat="false" ht="15" hidden="false" customHeight="false" outlineLevel="0" collapsed="false">
      <c r="A4" s="23" t="n">
        <v>74</v>
      </c>
      <c r="B4" s="23" t="s">
        <v>31</v>
      </c>
      <c r="C4" s="23" t="s">
        <v>387</v>
      </c>
      <c r="D4" s="23" t="s">
        <v>42</v>
      </c>
      <c r="E4" s="23" t="s">
        <v>388</v>
      </c>
      <c r="F4" s="23" t="s">
        <v>145</v>
      </c>
      <c r="G4" s="23" t="s">
        <v>31</v>
      </c>
      <c r="H4" s="23" t="s">
        <v>36</v>
      </c>
      <c r="I4" s="23" t="s">
        <v>37</v>
      </c>
      <c r="J4" s="23" t="s">
        <v>146</v>
      </c>
      <c r="K4" s="23" t="s">
        <v>389</v>
      </c>
      <c r="L4" s="23" t="n">
        <v>21200</v>
      </c>
      <c r="M4" s="23" t="n">
        <v>1986</v>
      </c>
      <c r="N4" s="23" t="n">
        <v>9</v>
      </c>
      <c r="O4" s="23" t="n">
        <v>19</v>
      </c>
      <c r="P4" s="23" t="n">
        <v>117.24</v>
      </c>
      <c r="Q4" s="24" t="n">
        <v>21427700000000</v>
      </c>
      <c r="R4" s="23" t="n">
        <v>78.5</v>
      </c>
      <c r="S4" s="23" t="n">
        <v>9.6</v>
      </c>
      <c r="T4" s="23" t="n">
        <v>36.6</v>
      </c>
      <c r="U4" s="23" t="n">
        <v>328239523</v>
      </c>
      <c r="V4" s="48" t="n">
        <v>39.3380968280467</v>
      </c>
      <c r="W4" s="26" t="n">
        <v>31674</v>
      </c>
      <c r="X4" s="26" t="n">
        <v>46042</v>
      </c>
    </row>
    <row r="5" customFormat="false" ht="15" hidden="false" customHeight="false" outlineLevel="0" collapsed="false">
      <c r="A5" s="23" t="n">
        <v>466</v>
      </c>
      <c r="B5" s="23" t="s">
        <v>49</v>
      </c>
      <c r="C5" s="23" t="s">
        <v>1655</v>
      </c>
      <c r="D5" s="23" t="s">
        <v>42</v>
      </c>
      <c r="E5" s="23" t="s">
        <v>854</v>
      </c>
      <c r="F5" s="23" t="s">
        <v>1656</v>
      </c>
      <c r="G5" s="23" t="s">
        <v>49</v>
      </c>
      <c r="H5" s="23" t="s">
        <v>45</v>
      </c>
      <c r="I5" s="23" t="s">
        <v>37</v>
      </c>
      <c r="J5" s="23" t="s">
        <v>1657</v>
      </c>
      <c r="K5" s="23" t="s">
        <v>207</v>
      </c>
      <c r="L5" s="23" t="n">
        <v>5500</v>
      </c>
      <c r="M5" s="23" t="n">
        <v>1990</v>
      </c>
      <c r="N5" s="23" t="n">
        <v>8</v>
      </c>
      <c r="O5" s="23" t="n">
        <v>6</v>
      </c>
      <c r="P5" s="23" t="n">
        <v>117.24</v>
      </c>
      <c r="Q5" s="24" t="n">
        <v>21427700000000</v>
      </c>
      <c r="R5" s="23" t="n">
        <v>78.5</v>
      </c>
      <c r="S5" s="23" t="n">
        <v>9.6</v>
      </c>
      <c r="T5" s="23" t="n">
        <v>36.6</v>
      </c>
      <c r="U5" s="23" t="n">
        <v>328239523</v>
      </c>
      <c r="V5" s="48" t="n">
        <v>35.4585614917863</v>
      </c>
      <c r="W5" s="26" t="n">
        <v>33091</v>
      </c>
      <c r="X5" s="26" t="n">
        <v>46042</v>
      </c>
    </row>
    <row r="6" customFormat="false" ht="15" hidden="false" customHeight="false" outlineLevel="0" collapsed="false">
      <c r="A6" s="23" t="n">
        <v>466</v>
      </c>
      <c r="B6" s="23" t="s">
        <v>49</v>
      </c>
      <c r="C6" s="23" t="s">
        <v>1658</v>
      </c>
      <c r="D6" s="23" t="s">
        <v>42</v>
      </c>
      <c r="E6" s="23" t="s">
        <v>854</v>
      </c>
      <c r="F6" s="23" t="s">
        <v>1659</v>
      </c>
      <c r="G6" s="23" t="s">
        <v>49</v>
      </c>
      <c r="H6" s="23" t="s">
        <v>45</v>
      </c>
      <c r="I6" s="23" t="s">
        <v>37</v>
      </c>
      <c r="J6" s="23" t="s">
        <v>1657</v>
      </c>
      <c r="K6" s="23" t="s">
        <v>1045</v>
      </c>
      <c r="L6" s="23" t="n">
        <v>5500</v>
      </c>
      <c r="M6" s="23" t="n">
        <v>1988</v>
      </c>
      <c r="N6" s="23" t="n">
        <v>9</v>
      </c>
      <c r="O6" s="23" t="n">
        <v>9</v>
      </c>
      <c r="P6" s="23" t="n">
        <v>117.24</v>
      </c>
      <c r="Q6" s="24" t="n">
        <v>21427700000000</v>
      </c>
      <c r="R6" s="23" t="n">
        <v>78.5</v>
      </c>
      <c r="S6" s="23" t="n">
        <v>9.6</v>
      </c>
      <c r="T6" s="23" t="n">
        <v>36.6</v>
      </c>
      <c r="U6" s="23" t="n">
        <v>328239523</v>
      </c>
      <c r="V6" s="48" t="n">
        <v>37.362793962794</v>
      </c>
      <c r="W6" s="26" t="n">
        <v>32395</v>
      </c>
      <c r="X6" s="26" t="n">
        <v>46042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0.4921875" defaultRowHeight="15" customHeight="true" zeroHeight="false" outlineLevelRow="0" outlineLevelCol="0"/>
  <cols>
    <col collapsed="false" customWidth="true" hidden="false" outlineLevel="0" max="1" min="1" style="23" width="36.12"/>
    <col collapsed="false" customWidth="true" hidden="false" outlineLevel="0" max="2" min="2" style="49" width="20.93"/>
    <col collapsed="false" customWidth="true" hidden="false" outlineLevel="0" max="4" min="4" style="27" width="22.57"/>
    <col collapsed="false" customWidth="true" hidden="false" outlineLevel="0" max="5" min="5" style="27" width="20.93"/>
  </cols>
  <sheetData>
    <row r="1" customFormat="false" ht="15" hidden="false" customHeight="false" outlineLevel="0" collapsed="false">
      <c r="A1" s="50" t="s">
        <v>9</v>
      </c>
      <c r="B1" s="51" t="s">
        <v>1793</v>
      </c>
      <c r="D1" s="52"/>
    </row>
    <row r="2" customFormat="false" ht="15" hidden="false" customHeight="false" outlineLevel="0" collapsed="false">
      <c r="A2" s="53" t="s">
        <v>32</v>
      </c>
      <c r="B2" s="54" t="n">
        <v>211000</v>
      </c>
      <c r="D2" s="55"/>
    </row>
    <row r="3" customFormat="false" ht="15" hidden="false" customHeight="false" outlineLevel="0" collapsed="false">
      <c r="A3" s="56" t="s">
        <v>69</v>
      </c>
      <c r="B3" s="57" t="n">
        <v>208000</v>
      </c>
    </row>
    <row r="4" customFormat="false" ht="15" hidden="false" customHeight="false" outlineLevel="0" collapsed="false">
      <c r="A4" s="56" t="s">
        <v>41</v>
      </c>
      <c r="B4" s="57" t="n">
        <v>180000</v>
      </c>
    </row>
    <row r="5" customFormat="false" ht="15" hidden="false" customHeight="false" outlineLevel="0" collapsed="false">
      <c r="A5" s="56" t="s">
        <v>50</v>
      </c>
      <c r="B5" s="57" t="n">
        <v>114000</v>
      </c>
    </row>
    <row r="6" customFormat="false" ht="15" hidden="false" customHeight="false" outlineLevel="0" collapsed="false">
      <c r="A6" s="56" t="s">
        <v>56</v>
      </c>
      <c r="B6" s="57" t="n">
        <v>107000</v>
      </c>
    </row>
    <row r="7" customFormat="false" ht="15" hidden="false" customHeight="false" outlineLevel="0" collapsed="false">
      <c r="A7" s="56" t="s">
        <v>63</v>
      </c>
      <c r="B7" s="57" t="n">
        <v>106000</v>
      </c>
    </row>
    <row r="8" customFormat="false" ht="15" hidden="false" customHeight="false" outlineLevel="0" collapsed="false">
      <c r="A8" s="56" t="s">
        <v>76</v>
      </c>
      <c r="B8" s="57" t="n">
        <v>94500</v>
      </c>
    </row>
    <row r="9" customFormat="false" ht="15" hidden="false" customHeight="false" outlineLevel="0" collapsed="false">
      <c r="A9" s="56" t="s">
        <v>83</v>
      </c>
      <c r="B9" s="57" t="n">
        <v>93000</v>
      </c>
    </row>
    <row r="10" customFormat="false" ht="15" hidden="false" customHeight="false" outlineLevel="0" collapsed="false">
      <c r="A10" s="56" t="s">
        <v>90</v>
      </c>
      <c r="B10" s="57" t="n">
        <v>83400</v>
      </c>
    </row>
    <row r="11" customFormat="false" ht="15" hidden="false" customHeight="false" outlineLevel="0" collapsed="false">
      <c r="A11" s="56" t="s">
        <v>96</v>
      </c>
      <c r="B11" s="58" t="n">
        <v>80700</v>
      </c>
    </row>
    <row r="12" customFormat="false" ht="15" hidden="false" customHeight="false" outlineLevel="0" collapsed="false">
      <c r="A12" s="59" t="s">
        <v>1792</v>
      </c>
      <c r="B12" s="60" t="n">
        <v>1277600</v>
      </c>
    </row>
    <row r="17" customFormat="false" ht="15" hidden="false" customHeight="false" outlineLevel="0" collapsed="false">
      <c r="A17" s="61"/>
      <c r="B17" s="62"/>
    </row>
    <row r="18" customFormat="false" ht="15" hidden="false" customHeight="false" outlineLevel="0" collapsed="false">
      <c r="A18" s="63"/>
      <c r="B18" s="64"/>
    </row>
    <row r="19" customFormat="false" ht="15" hidden="false" customHeight="false" outlineLevel="0" collapsed="false">
      <c r="A19" s="63"/>
      <c r="B19" s="64"/>
    </row>
    <row r="20" customFormat="false" ht="15" hidden="false" customHeight="false" outlineLevel="0" collapsed="false">
      <c r="A20" s="63"/>
      <c r="B20" s="64"/>
    </row>
    <row r="21" customFormat="false" ht="15" hidden="false" customHeight="false" outlineLevel="0" collapsed="false">
      <c r="A21" s="63"/>
      <c r="B21" s="64"/>
    </row>
    <row r="22" customFormat="false" ht="15" hidden="false" customHeight="false" outlineLevel="0" collapsed="false">
      <c r="A22" s="63"/>
      <c r="B22" s="64"/>
    </row>
    <row r="23" customFormat="false" ht="15" hidden="false" customHeight="false" outlineLevel="0" collapsed="false">
      <c r="A23" s="63"/>
      <c r="B23" s="64"/>
    </row>
    <row r="24" customFormat="false" ht="15" hidden="false" customHeight="false" outlineLevel="0" collapsed="false">
      <c r="A24" s="63"/>
      <c r="B24" s="64"/>
    </row>
    <row r="25" customFormat="false" ht="15" hidden="false" customHeight="false" outlineLevel="0" collapsed="false">
      <c r="A25" s="63"/>
      <c r="B25" s="64"/>
    </row>
    <row r="26" customFormat="false" ht="15" hidden="false" customHeight="false" outlineLevel="0" collapsed="false">
      <c r="A26" s="63"/>
      <c r="B26" s="64"/>
    </row>
    <row r="27" customFormat="false" ht="15" hidden="false" customHeight="false" outlineLevel="0" collapsed="false">
      <c r="A27" s="63"/>
      <c r="B27" s="64"/>
    </row>
    <row r="28" customFormat="false" ht="15" hidden="false" customHeight="false" outlineLevel="0" collapsed="false">
      <c r="A28" s="65"/>
      <c r="B28" s="6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591FF2B5DCE4EBB5217E5E9439AEB" ma:contentTypeVersion="15" ma:contentTypeDescription="Create a new document." ma:contentTypeScope="" ma:versionID="8c1cb66c6456ea3b838728907be677be">
  <xsd:schema xmlns:xsd="http://www.w3.org/2001/XMLSchema" xmlns:xs="http://www.w3.org/2001/XMLSchema" xmlns:p="http://schemas.microsoft.com/office/2006/metadata/properties" xmlns:ns2="3163de2a-2ec2-45f0-b14d-0af60e6d9ad0" xmlns:ns3="fc19ec23-456b-448c-8a2f-165d14c43f10" targetNamespace="http://schemas.microsoft.com/office/2006/metadata/properties" ma:root="true" ma:fieldsID="ad9bc822c441476fdced3512c9f2c4c4" ns2:_="" ns3:_="">
    <xsd:import namespace="3163de2a-2ec2-45f0-b14d-0af60e6d9ad0"/>
    <xsd:import namespace="fc19ec23-456b-448c-8a2f-165d14c43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Conte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3de2a-2ec2-45f0-b14d-0af60e6d9a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Contents" ma:index="16" nillable="true" ma:displayName="Contents" ma:format="Dropdown" ma:internalName="Contents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9ec23-456b-448c-8a2f-165d14c43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e7c5234-3d00-42a9-a58c-ffdc3b94d10c}" ma:internalName="TaxCatchAll" ma:showField="CatchAllData" ma:web="fc19ec23-456b-448c-8a2f-165d14c43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409B2-AC1C-4E6A-B368-CCAFEFB083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AD0DE4-B903-459C-A8B2-85757CA821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63de2a-2ec2-45f0-b14d-0af60e6d9ad0"/>
    <ds:schemaRef ds:uri="fc19ec23-456b-448c-8a2f-165d14c43f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2024-04-01T06:54:26Z</dcterms:created>
  <dc:creator>Career Principles</dc:creator>
  <dc:description/>
  <dc:language>pt-BR</dc:language>
  <cp:lastModifiedBy/>
  <cp:lastPrinted>2026-01-20T00:45:21Z</cp:lastPrinted>
  <dcterms:modified xsi:type="dcterms:W3CDTF">2026-01-20T00:46:30Z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